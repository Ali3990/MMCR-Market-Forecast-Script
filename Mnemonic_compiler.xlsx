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mcrealestate-my.sharepoint.com/personal/ali_mmcrealestate_com/Documents/Desktop/MMCR/Apt Forecasts/Forecast process 2025/MMCR-Market-Forecast-Script/"/>
    </mc:Choice>
  </mc:AlternateContent>
  <xr:revisionPtr revIDLastSave="664" documentId="11_F25DC773A252ABDACC104880E11E6B3E5ADE58EB" xr6:coauthVersionLast="47" xr6:coauthVersionMax="47" xr10:uidLastSave="{DED3EBC6-0946-4AC4-A806-4ACFEE2943DB}"/>
  <bookViews>
    <workbookView xWindow="-120" yWindow="-120" windowWidth="29040" windowHeight="15840" xr2:uid="{00000000-000D-0000-FFFF-FFFF00000000}"/>
  </bookViews>
  <sheets>
    <sheet name="Custom basket" sheetId="4" r:id="rId1"/>
    <sheet name="geocodes &amp; mnemonic list" sheetId="2" r:id="rId2"/>
    <sheet name="Single Geocode compiler" sheetId="7" r:id="rId3"/>
    <sheet name="Double Geocode Compiler" sheetId="9" r:id="rId4"/>
    <sheet name="Dict" sheetId="6" r:id="rId5"/>
  </sheets>
  <definedNames>
    <definedName name="_xlnm._FilterDatabase" localSheetId="1" hidden="1">'geocodes &amp; mnemonic list'!$B$5:$J$5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 a="1"/>
  <c r="C4" i="4" s="1"/>
  <c r="E4" i="4" a="1"/>
  <c r="E4" i="4" s="1"/>
  <c r="Q8" i="9"/>
  <c r="Q7" i="9"/>
  <c r="Q6" i="9"/>
  <c r="P8" i="9"/>
  <c r="O8" i="9"/>
  <c r="N8" i="9"/>
  <c r="M8" i="9"/>
  <c r="P7" i="9"/>
  <c r="O7" i="9"/>
  <c r="N7" i="9"/>
  <c r="M7" i="9"/>
  <c r="P6" i="9"/>
  <c r="O6" i="9"/>
  <c r="N6" i="9"/>
  <c r="M6" i="9"/>
  <c r="L7" i="9"/>
  <c r="L8" i="9"/>
  <c r="K8" i="9"/>
  <c r="K7" i="9"/>
  <c r="K6" i="9"/>
  <c r="L6" i="9"/>
  <c r="J7" i="9"/>
  <c r="J8" i="9"/>
  <c r="J6" i="9"/>
  <c r="I6" i="9"/>
  <c r="I8" i="9"/>
  <c r="H8" i="9"/>
  <c r="G8" i="9"/>
  <c r="F8" i="9"/>
  <c r="I7" i="9"/>
  <c r="H7" i="9"/>
  <c r="G7" i="9"/>
  <c r="F7" i="9"/>
  <c r="H6" i="9"/>
  <c r="G6" i="9"/>
  <c r="F6" i="9"/>
  <c r="B20" i="9"/>
  <c r="E7" i="9"/>
  <c r="E8" i="9"/>
  <c r="E9" i="9"/>
  <c r="E10" i="9"/>
  <c r="E11" i="9"/>
  <c r="E6" i="9"/>
  <c r="C7" i="9"/>
  <c r="D7" i="9"/>
  <c r="C8" i="9"/>
  <c r="D8" i="9"/>
  <c r="D6" i="9"/>
  <c r="C6" i="9"/>
  <c r="G4" i="9"/>
  <c r="F4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Q4" i="9" s="1"/>
  <c r="P2" i="9"/>
  <c r="P3" i="9" s="1"/>
  <c r="O2" i="9"/>
  <c r="O4" i="9" s="1"/>
  <c r="N2" i="9"/>
  <c r="N4" i="9" s="1"/>
  <c r="M2" i="9"/>
  <c r="M3" i="9" s="1"/>
  <c r="L2" i="9"/>
  <c r="L4" i="9" s="1"/>
  <c r="K2" i="9"/>
  <c r="K4" i="9" s="1"/>
  <c r="J2" i="9"/>
  <c r="J4" i="9" s="1"/>
  <c r="I2" i="9"/>
  <c r="I4" i="9" s="1"/>
  <c r="H2" i="9"/>
  <c r="H4" i="9" s="1"/>
  <c r="G2" i="9"/>
  <c r="F2" i="9"/>
  <c r="F3" i="9" s="1"/>
  <c r="E2" i="9"/>
  <c r="E4" i="9" s="1"/>
  <c r="D20" i="9" l="1"/>
  <c r="M4" i="9"/>
  <c r="P4" i="9"/>
  <c r="I3" i="9"/>
  <c r="G3" i="9"/>
  <c r="J3" i="9"/>
  <c r="H3" i="9"/>
  <c r="O3" i="9"/>
  <c r="K3" i="9"/>
  <c r="L3" i="9"/>
  <c r="N3" i="9"/>
  <c r="E3" i="9"/>
  <c r="Q3" i="9"/>
  <c r="B21" i="9" l="1"/>
  <c r="D21" i="9"/>
  <c r="B22" i="9" l="1"/>
  <c r="D22" i="9"/>
  <c r="B23" i="9" l="1"/>
  <c r="D23" i="9"/>
  <c r="J9" i="9"/>
  <c r="G9" i="9"/>
  <c r="AT9" i="9"/>
  <c r="U9" i="9"/>
  <c r="T9" i="9"/>
  <c r="Y9" i="9"/>
  <c r="AW9" i="9"/>
  <c r="X9" i="9"/>
  <c r="N9" i="9"/>
  <c r="AG9" i="9"/>
  <c r="I9" i="9"/>
  <c r="AZ9" i="9"/>
  <c r="R9" i="9"/>
  <c r="BA9" i="9"/>
  <c r="AA9" i="9"/>
  <c r="AJ9" i="9"/>
  <c r="Z9" i="9"/>
  <c r="AK9" i="9"/>
  <c r="AE9" i="9"/>
  <c r="AD9" i="9"/>
  <c r="AU9" i="9"/>
  <c r="AM9" i="9"/>
  <c r="AF9" i="9"/>
  <c r="W9" i="9"/>
  <c r="K9" i="9"/>
  <c r="AQ9" i="9"/>
  <c r="AV9" i="9"/>
  <c r="AL9" i="9"/>
  <c r="F9" i="9"/>
  <c r="P9" i="9"/>
  <c r="AH9" i="9"/>
  <c r="S9" i="9"/>
  <c r="V9" i="9"/>
  <c r="AC9" i="9"/>
  <c r="AS9" i="9"/>
  <c r="L9" i="9"/>
  <c r="O9" i="9"/>
  <c r="AI9" i="9"/>
  <c r="BB9" i="9"/>
  <c r="AB9" i="9"/>
  <c r="AX9" i="9"/>
  <c r="AN9" i="9"/>
  <c r="M9" i="9"/>
  <c r="AR9" i="9"/>
  <c r="AY9" i="9"/>
  <c r="Q9" i="9"/>
  <c r="AO9" i="9"/>
  <c r="H9" i="9"/>
  <c r="AP9" i="9"/>
  <c r="P3" i="7"/>
  <c r="O3" i="7"/>
  <c r="N3" i="7"/>
  <c r="M3" i="7"/>
  <c r="L3" i="7"/>
  <c r="K3" i="7"/>
  <c r="J3" i="7"/>
  <c r="I3" i="7"/>
  <c r="H3" i="7"/>
  <c r="G3" i="7"/>
  <c r="F3" i="7"/>
  <c r="E3" i="7"/>
  <c r="D3" i="7"/>
  <c r="I36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4" i="6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D2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" i="7"/>
  <c r="B24" i="9" l="1"/>
  <c r="D24" i="9"/>
  <c r="AA10" i="9"/>
  <c r="AC10" i="9"/>
  <c r="AW10" i="9"/>
  <c r="AE10" i="9"/>
  <c r="F10" i="9"/>
  <c r="AJ10" i="9"/>
  <c r="P10" i="9"/>
  <c r="X10" i="9"/>
  <c r="AS10" i="9"/>
  <c r="V10" i="9"/>
  <c r="AG10" i="9"/>
  <c r="AN10" i="9"/>
  <c r="Y10" i="9"/>
  <c r="L10" i="9"/>
  <c r="AB10" i="9"/>
  <c r="AP10" i="9"/>
  <c r="Q10" i="9"/>
  <c r="AK10" i="9"/>
  <c r="AT10" i="9"/>
  <c r="M10" i="9"/>
  <c r="AZ10" i="9"/>
  <c r="Z10" i="9"/>
  <c r="J10" i="9"/>
  <c r="AY10" i="9"/>
  <c r="AH10" i="9"/>
  <c r="AO10" i="9"/>
  <c r="I10" i="9"/>
  <c r="K10" i="9"/>
  <c r="AU10" i="9"/>
  <c r="AQ10" i="9"/>
  <c r="AR10" i="9"/>
  <c r="AX10" i="9"/>
  <c r="AM10" i="9"/>
  <c r="AV10" i="9"/>
  <c r="BB10" i="9"/>
  <c r="N10" i="9"/>
  <c r="BA10" i="9"/>
  <c r="H10" i="9"/>
  <c r="AI10" i="9"/>
  <c r="O10" i="9"/>
  <c r="S10" i="9"/>
  <c r="T10" i="9"/>
  <c r="W10" i="9"/>
  <c r="U10" i="9"/>
  <c r="AF10" i="9"/>
  <c r="R10" i="9"/>
  <c r="AL10" i="9"/>
  <c r="G10" i="9"/>
  <c r="AD10" i="9"/>
  <c r="A7" i="2"/>
  <c r="A8" i="2" s="1"/>
  <c r="A9" i="2" s="1"/>
  <c r="A10" i="2" s="1"/>
  <c r="A11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B25" i="9" l="1"/>
  <c r="D25" i="9"/>
  <c r="Q11" i="9"/>
  <c r="Y11" i="9"/>
  <c r="I11" i="9"/>
  <c r="K11" i="9"/>
  <c r="AQ11" i="9"/>
  <c r="V11" i="9"/>
  <c r="AA11" i="9"/>
  <c r="BB11" i="9"/>
  <c r="AG11" i="9"/>
  <c r="AX11" i="9"/>
  <c r="AB11" i="9"/>
  <c r="AF11" i="9"/>
  <c r="N11" i="9"/>
  <c r="AI11" i="9"/>
  <c r="AY11" i="9"/>
  <c r="AD11" i="9"/>
  <c r="H11" i="9"/>
  <c r="AU11" i="9"/>
  <c r="Z11" i="9"/>
  <c r="S11" i="9"/>
  <c r="R11" i="9"/>
  <c r="AV11" i="9"/>
  <c r="AM11" i="9"/>
  <c r="AR11" i="9"/>
  <c r="T11" i="9"/>
  <c r="M11" i="9"/>
  <c r="AC11" i="9"/>
  <c r="AN11" i="9"/>
  <c r="AW11" i="9"/>
  <c r="U11" i="9"/>
  <c r="AP11" i="9"/>
  <c r="AH11" i="9"/>
  <c r="AT11" i="9"/>
  <c r="AJ11" i="9"/>
  <c r="X11" i="9"/>
  <c r="AL11" i="9"/>
  <c r="AE11" i="9"/>
  <c r="AK11" i="9"/>
  <c r="O11" i="9"/>
  <c r="AS11" i="9"/>
  <c r="P11" i="9"/>
  <c r="G11" i="9"/>
  <c r="AO11" i="9"/>
  <c r="W11" i="9"/>
  <c r="BA11" i="9"/>
  <c r="L11" i="9"/>
  <c r="AZ11" i="9"/>
  <c r="J11" i="9"/>
  <c r="F11" i="9"/>
  <c r="B12" i="9"/>
  <c r="D12" i="9"/>
  <c r="E12" i="9" s="1"/>
  <c r="I30" i="2"/>
  <c r="A12" i="2"/>
  <c r="B26" i="9" l="1"/>
  <c r="D26" i="9"/>
  <c r="B13" i="9"/>
  <c r="D13" i="9"/>
  <c r="E13" i="9" s="1"/>
  <c r="K12" i="9"/>
  <c r="AR12" i="9"/>
  <c r="F12" i="9"/>
  <c r="AE12" i="9"/>
  <c r="J12" i="9"/>
  <c r="AM12" i="9"/>
  <c r="L12" i="9"/>
  <c r="AH12" i="9"/>
  <c r="BA12" i="9"/>
  <c r="AF12" i="9"/>
  <c r="AU12" i="9"/>
  <c r="AT12" i="9"/>
  <c r="I12" i="9"/>
  <c r="Z12" i="9"/>
  <c r="AY12" i="9"/>
  <c r="X12" i="9"/>
  <c r="AS12" i="9"/>
  <c r="AO12" i="9"/>
  <c r="AA12" i="9"/>
  <c r="N12" i="9"/>
  <c r="AL12" i="9"/>
  <c r="P12" i="9"/>
  <c r="H12" i="9"/>
  <c r="AX12" i="9"/>
  <c r="M12" i="9"/>
  <c r="AB12" i="9"/>
  <c r="R12" i="9"/>
  <c r="AW12" i="9"/>
  <c r="BB12" i="9"/>
  <c r="AZ12" i="9"/>
  <c r="AG12" i="9"/>
  <c r="S12" i="9"/>
  <c r="AJ12" i="9"/>
  <c r="AN12" i="9"/>
  <c r="AC12" i="9"/>
  <c r="Y12" i="9"/>
  <c r="AQ12" i="9"/>
  <c r="W12" i="9"/>
  <c r="U12" i="9"/>
  <c r="T12" i="9"/>
  <c r="AD12" i="9"/>
  <c r="AI12" i="9"/>
  <c r="Q12" i="9"/>
  <c r="G12" i="9"/>
  <c r="AK12" i="9"/>
  <c r="AP12" i="9"/>
  <c r="AV12" i="9"/>
  <c r="O12" i="9"/>
  <c r="V12" i="9"/>
  <c r="I31" i="2"/>
  <c r="A13" i="2"/>
  <c r="B27" i="9" l="1"/>
  <c r="D27" i="9"/>
  <c r="AC13" i="9"/>
  <c r="AR13" i="9"/>
  <c r="AE13" i="9"/>
  <c r="O13" i="9"/>
  <c r="AB13" i="9"/>
  <c r="AF13" i="9"/>
  <c r="W13" i="9"/>
  <c r="I13" i="9"/>
  <c r="BA13" i="9"/>
  <c r="Y13" i="9"/>
  <c r="AP13" i="9"/>
  <c r="AA13" i="9"/>
  <c r="AO13" i="9"/>
  <c r="R13" i="9"/>
  <c r="V13" i="9"/>
  <c r="AM13" i="9"/>
  <c r="T13" i="9"/>
  <c r="AQ13" i="9"/>
  <c r="AS13" i="9"/>
  <c r="AK13" i="9"/>
  <c r="AH13" i="9"/>
  <c r="N13" i="9"/>
  <c r="AW13" i="9"/>
  <c r="H13" i="9"/>
  <c r="X13" i="9"/>
  <c r="AL13" i="9"/>
  <c r="S13" i="9"/>
  <c r="AI13" i="9"/>
  <c r="Q13" i="9"/>
  <c r="AT13" i="9"/>
  <c r="AX13" i="9"/>
  <c r="U13" i="9"/>
  <c r="BB13" i="9"/>
  <c r="AU13" i="9"/>
  <c r="Z13" i="9"/>
  <c r="M13" i="9"/>
  <c r="AD13" i="9"/>
  <c r="L13" i="9"/>
  <c r="K13" i="9"/>
  <c r="AV13" i="9"/>
  <c r="G13" i="9"/>
  <c r="P13" i="9"/>
  <c r="AG13" i="9"/>
  <c r="AN13" i="9"/>
  <c r="F13" i="9"/>
  <c r="AJ13" i="9"/>
  <c r="AZ13" i="9"/>
  <c r="AY13" i="9"/>
  <c r="J13" i="9"/>
  <c r="D14" i="9"/>
  <c r="E14" i="9" s="1"/>
  <c r="B14" i="9"/>
  <c r="A14" i="2"/>
  <c r="I32" i="2"/>
  <c r="D28" i="9" l="1"/>
  <c r="B28" i="9"/>
  <c r="Y14" i="9"/>
  <c r="AN14" i="9"/>
  <c r="AF14" i="9"/>
  <c r="F14" i="9"/>
  <c r="Q14" i="9"/>
  <c r="AW14" i="9"/>
  <c r="BB14" i="9"/>
  <c r="AP14" i="9"/>
  <c r="BA14" i="9"/>
  <c r="AR14" i="9"/>
  <c r="AQ14" i="9"/>
  <c r="L14" i="9"/>
  <c r="AO14" i="9"/>
  <c r="AD14" i="9"/>
  <c r="AG14" i="9"/>
  <c r="V14" i="9"/>
  <c r="K14" i="9"/>
  <c r="AZ14" i="9"/>
  <c r="AM14" i="9"/>
  <c r="R14" i="9"/>
  <c r="X14" i="9"/>
  <c r="AL14" i="9"/>
  <c r="AX14" i="9"/>
  <c r="J14" i="9"/>
  <c r="P14" i="9"/>
  <c r="AK14" i="9"/>
  <c r="AU14" i="9"/>
  <c r="U14" i="9"/>
  <c r="AB14" i="9"/>
  <c r="H14" i="9"/>
  <c r="AH14" i="9"/>
  <c r="AV14" i="9"/>
  <c r="AS14" i="9"/>
  <c r="AA14" i="9"/>
  <c r="AY14" i="9"/>
  <c r="N14" i="9"/>
  <c r="I14" i="9"/>
  <c r="T14" i="9"/>
  <c r="W14" i="9"/>
  <c r="M14" i="9"/>
  <c r="AJ14" i="9"/>
  <c r="AC14" i="9"/>
  <c r="S14" i="9"/>
  <c r="AT14" i="9"/>
  <c r="AI14" i="9"/>
  <c r="AE14" i="9"/>
  <c r="G14" i="9"/>
  <c r="Z14" i="9"/>
  <c r="O14" i="9"/>
  <c r="B15" i="9"/>
  <c r="D15" i="9"/>
  <c r="E15" i="9" s="1"/>
  <c r="A15" i="2"/>
  <c r="I33" i="2"/>
  <c r="D16" i="9" l="1"/>
  <c r="E16" i="9" s="1"/>
  <c r="B16" i="9"/>
  <c r="Q15" i="9"/>
  <c r="N15" i="9"/>
  <c r="AW15" i="9"/>
  <c r="AE15" i="9"/>
  <c r="I15" i="9"/>
  <c r="R15" i="9"/>
  <c r="AZ15" i="9"/>
  <c r="AV15" i="9"/>
  <c r="AC15" i="9"/>
  <c r="AO15" i="9"/>
  <c r="P15" i="9"/>
  <c r="AT15" i="9"/>
  <c r="BA15" i="9"/>
  <c r="G15" i="9"/>
  <c r="AA15" i="9"/>
  <c r="M15" i="9"/>
  <c r="L15" i="9"/>
  <c r="AJ15" i="9"/>
  <c r="K15" i="9"/>
  <c r="AY15" i="9"/>
  <c r="W15" i="9"/>
  <c r="U15" i="9"/>
  <c r="AQ15" i="9"/>
  <c r="F15" i="9"/>
  <c r="AR15" i="9"/>
  <c r="Z15" i="9"/>
  <c r="T15" i="9"/>
  <c r="H15" i="9"/>
  <c r="BB15" i="9"/>
  <c r="AM15" i="9"/>
  <c r="AL15" i="9"/>
  <c r="AF15" i="9"/>
  <c r="O15" i="9"/>
  <c r="Y15" i="9"/>
  <c r="AI15" i="9"/>
  <c r="AP15" i="9"/>
  <c r="J15" i="9"/>
  <c r="AU15" i="9"/>
  <c r="AN15" i="9"/>
  <c r="AH15" i="9"/>
  <c r="AG15" i="9"/>
  <c r="AS15" i="9"/>
  <c r="S15" i="9"/>
  <c r="AK15" i="9"/>
  <c r="X15" i="9"/>
  <c r="AX15" i="9"/>
  <c r="AD15" i="9"/>
  <c r="AB15" i="9"/>
  <c r="V15" i="9"/>
  <c r="A16" i="2"/>
  <c r="I34" i="2"/>
  <c r="AC16" i="9" l="1"/>
  <c r="AZ16" i="9"/>
  <c r="I16" i="9"/>
  <c r="AJ16" i="9"/>
  <c r="AB16" i="9"/>
  <c r="T16" i="9"/>
  <c r="K16" i="9"/>
  <c r="X16" i="9"/>
  <c r="AP16" i="9"/>
  <c r="P16" i="9"/>
  <c r="G16" i="9"/>
  <c r="AV16" i="9"/>
  <c r="AT16" i="9"/>
  <c r="AU16" i="9"/>
  <c r="AF16" i="9"/>
  <c r="N16" i="9"/>
  <c r="AH16" i="9"/>
  <c r="AW16" i="9"/>
  <c r="AE16" i="9"/>
  <c r="AN16" i="9"/>
  <c r="J16" i="9"/>
  <c r="AM16" i="9"/>
  <c r="F16" i="9"/>
  <c r="AG16" i="9"/>
  <c r="BB16" i="9"/>
  <c r="AS16" i="9"/>
  <c r="V16" i="9"/>
  <c r="AK16" i="9"/>
  <c r="Y16" i="9"/>
  <c r="AL16" i="9"/>
  <c r="W16" i="9"/>
  <c r="S16" i="9"/>
  <c r="M16" i="9"/>
  <c r="Z16" i="9"/>
  <c r="AD16" i="9"/>
  <c r="U16" i="9"/>
  <c r="AO16" i="9"/>
  <c r="AI16" i="9"/>
  <c r="AY16" i="9"/>
  <c r="AX16" i="9"/>
  <c r="O16" i="9"/>
  <c r="BA16" i="9"/>
  <c r="R16" i="9"/>
  <c r="AA16" i="9"/>
  <c r="L16" i="9"/>
  <c r="AR16" i="9"/>
  <c r="H16" i="9"/>
  <c r="AQ16" i="9"/>
  <c r="Q16" i="9"/>
  <c r="D17" i="9"/>
  <c r="E17" i="9" s="1"/>
  <c r="B17" i="9"/>
  <c r="A17" i="2"/>
  <c r="I35" i="2"/>
  <c r="Z17" i="9" l="1"/>
  <c r="AE17" i="9"/>
  <c r="P17" i="9"/>
  <c r="AB17" i="9"/>
  <c r="AM17" i="9"/>
  <c r="AA17" i="9"/>
  <c r="AO17" i="9"/>
  <c r="I17" i="9"/>
  <c r="Y17" i="9"/>
  <c r="AI17" i="9"/>
  <c r="AZ17" i="9"/>
  <c r="T17" i="9"/>
  <c r="AL17" i="9"/>
  <c r="AT17" i="9"/>
  <c r="AQ17" i="9"/>
  <c r="R17" i="9"/>
  <c r="L17" i="9"/>
  <c r="AD17" i="9"/>
  <c r="AF17" i="9"/>
  <c r="Q17" i="9"/>
  <c r="AY17" i="9"/>
  <c r="U17" i="9"/>
  <c r="H17" i="9"/>
  <c r="N17" i="9"/>
  <c r="M17" i="9"/>
  <c r="BA17" i="9"/>
  <c r="AK17" i="9"/>
  <c r="AW17" i="9"/>
  <c r="AC17" i="9"/>
  <c r="AV17" i="9"/>
  <c r="K17" i="9"/>
  <c r="AP17" i="9"/>
  <c r="J17" i="9"/>
  <c r="V17" i="9"/>
  <c r="AX17" i="9"/>
  <c r="AG17" i="9"/>
  <c r="AJ17" i="9"/>
  <c r="BB17" i="9"/>
  <c r="W17" i="9"/>
  <c r="AN17" i="9"/>
  <c r="AU17" i="9"/>
  <c r="X17" i="9"/>
  <c r="S17" i="9"/>
  <c r="F17" i="9"/>
  <c r="O17" i="9"/>
  <c r="AS17" i="9"/>
  <c r="AH17" i="9"/>
  <c r="G17" i="9"/>
  <c r="AR17" i="9"/>
  <c r="D18" i="9"/>
  <c r="E18" i="9" s="1"/>
  <c r="B18" i="9"/>
  <c r="A18" i="2"/>
  <c r="I36" i="2"/>
  <c r="D19" i="9" l="1"/>
  <c r="E19" i="9" s="1"/>
  <c r="B19" i="9"/>
  <c r="AG18" i="9"/>
  <c r="U18" i="9"/>
  <c r="S18" i="9"/>
  <c r="G18" i="9"/>
  <c r="AJ18" i="9"/>
  <c r="O18" i="9"/>
  <c r="AY18" i="9"/>
  <c r="P18" i="9"/>
  <c r="AD18" i="9"/>
  <c r="AM18" i="9"/>
  <c r="AK18" i="9"/>
  <c r="AI18" i="9"/>
  <c r="AS18" i="9"/>
  <c r="X18" i="9"/>
  <c r="H18" i="9"/>
  <c r="AR18" i="9"/>
  <c r="N18" i="9"/>
  <c r="I18" i="9"/>
  <c r="L18" i="9"/>
  <c r="M18" i="9"/>
  <c r="V18" i="9"/>
  <c r="T18" i="9"/>
  <c r="AF18" i="9"/>
  <c r="AN18" i="9"/>
  <c r="K18" i="9"/>
  <c r="W18" i="9"/>
  <c r="AL18" i="9"/>
  <c r="AQ18" i="9"/>
  <c r="BB18" i="9"/>
  <c r="AX18" i="9"/>
  <c r="F18" i="9"/>
  <c r="AE18" i="9"/>
  <c r="AT18" i="9"/>
  <c r="Z18" i="9"/>
  <c r="AU18" i="9"/>
  <c r="AH18" i="9"/>
  <c r="AC18" i="9"/>
  <c r="AP18" i="9"/>
  <c r="AA18" i="9"/>
  <c r="AZ18" i="9"/>
  <c r="AV18" i="9"/>
  <c r="J18" i="9"/>
  <c r="BA18" i="9"/>
  <c r="R18" i="9"/>
  <c r="AB18" i="9"/>
  <c r="AW18" i="9"/>
  <c r="Y18" i="9"/>
  <c r="AO18" i="9"/>
  <c r="Q18" i="9"/>
  <c r="A19" i="2"/>
  <c r="I37" i="2"/>
  <c r="AQ19" i="9" l="1"/>
  <c r="W19" i="9"/>
  <c r="V19" i="9"/>
  <c r="AB19" i="9"/>
  <c r="AJ19" i="9"/>
  <c r="Y19" i="9"/>
  <c r="T19" i="9"/>
  <c r="I19" i="9"/>
  <c r="AK19" i="9"/>
  <c r="F19" i="9"/>
  <c r="AH19" i="9"/>
  <c r="S19" i="9"/>
  <c r="AT19" i="9"/>
  <c r="AY19" i="9"/>
  <c r="AI19" i="9"/>
  <c r="N19" i="9"/>
  <c r="L19" i="9"/>
  <c r="AO19" i="9"/>
  <c r="AE19" i="9"/>
  <c r="AF19" i="9"/>
  <c r="O19" i="9"/>
  <c r="X19" i="9"/>
  <c r="AX19" i="9"/>
  <c r="P19" i="9"/>
  <c r="U19" i="9"/>
  <c r="Z19" i="9"/>
  <c r="BA19" i="9"/>
  <c r="AU19" i="9"/>
  <c r="AR19" i="9"/>
  <c r="J19" i="9"/>
  <c r="AA19" i="9"/>
  <c r="AN19" i="9"/>
  <c r="H19" i="9"/>
  <c r="AP19" i="9"/>
  <c r="AD19" i="9"/>
  <c r="M19" i="9"/>
  <c r="AW19" i="9"/>
  <c r="AZ19" i="9"/>
  <c r="AL19" i="9"/>
  <c r="AC19" i="9"/>
  <c r="G19" i="9"/>
  <c r="AS19" i="9"/>
  <c r="AG19" i="9"/>
  <c r="Q19" i="9"/>
  <c r="R19" i="9"/>
  <c r="AV19" i="9"/>
  <c r="K19" i="9"/>
  <c r="AM19" i="9"/>
  <c r="BB19" i="9"/>
  <c r="A20" i="2"/>
  <c r="I38" i="2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A21" i="2" l="1"/>
  <c r="A22" i="2" l="1"/>
  <c r="A23" i="2" l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<sst xmlns="http://schemas.openxmlformats.org/spreadsheetml/2006/main" count="347" uniqueCount="183">
  <si>
    <t>DEN</t>
  </si>
  <si>
    <t>LA</t>
  </si>
  <si>
    <t>OAK</t>
  </si>
  <si>
    <t>OC</t>
  </si>
  <si>
    <t>POR</t>
  </si>
  <si>
    <t>SJ</t>
  </si>
  <si>
    <t>SD</t>
  </si>
  <si>
    <t>SEA</t>
  </si>
  <si>
    <t>SF</t>
  </si>
  <si>
    <t>SR</t>
  </si>
  <si>
    <t>VC</t>
  </si>
  <si>
    <t>FC</t>
  </si>
  <si>
    <t>BOS</t>
  </si>
  <si>
    <t>NYM</t>
  </si>
  <si>
    <t>NNJ</t>
  </si>
  <si>
    <t>LI</t>
  </si>
  <si>
    <t>DC</t>
  </si>
  <si>
    <t>ATL</t>
  </si>
  <si>
    <t>AUS</t>
  </si>
  <si>
    <t>CNJ</t>
  </si>
  <si>
    <t>CHS</t>
  </si>
  <si>
    <t>CHR</t>
  </si>
  <si>
    <t>DAL</t>
  </si>
  <si>
    <t>FL</t>
  </si>
  <si>
    <t>FW</t>
  </si>
  <si>
    <t>MIA</t>
  </si>
  <si>
    <t>ORL</t>
  </si>
  <si>
    <t>RAL</t>
  </si>
  <si>
    <t>DUR</t>
  </si>
  <si>
    <t>SB</t>
  </si>
  <si>
    <t>TAM</t>
  </si>
  <si>
    <t>US</t>
  </si>
  <si>
    <t>Market</t>
  </si>
  <si>
    <t>Market_abbrev</t>
  </si>
  <si>
    <t>Geocode</t>
  </si>
  <si>
    <t>Denver</t>
  </si>
  <si>
    <t>Los Angeles</t>
  </si>
  <si>
    <t>Oakland-East Bay</t>
  </si>
  <si>
    <t>IUSA_MDEN</t>
  </si>
  <si>
    <t>IUSA_DMLOS</t>
  </si>
  <si>
    <t>IUSA_DMOAK</t>
  </si>
  <si>
    <t>IUSA_DMANA</t>
  </si>
  <si>
    <t>IUSA_MPOT</t>
  </si>
  <si>
    <t>IUSA_MSAJ</t>
  </si>
  <si>
    <t>IUSA_MSAN</t>
  </si>
  <si>
    <t>IUSA_DMSEB</t>
  </si>
  <si>
    <t>IUSA_DMSAF</t>
  </si>
  <si>
    <t>IUSA_DMSRF</t>
  </si>
  <si>
    <t>IUSA_MOXN</t>
  </si>
  <si>
    <t>IUSA_MBSD</t>
  </si>
  <si>
    <t>IUSA_MBOS</t>
  </si>
  <si>
    <t>IUSA_DMNWY</t>
  </si>
  <si>
    <t>IUSA_DMNEK</t>
  </si>
  <si>
    <t>IUSA_DMNAS</t>
  </si>
  <si>
    <t>IUSA_MWAA</t>
  </si>
  <si>
    <t>IUSA_MATS</t>
  </si>
  <si>
    <t>IUSA_MAUS</t>
  </si>
  <si>
    <t>IUSA_DMLNB</t>
  </si>
  <si>
    <t>IUSA_MCHS</t>
  </si>
  <si>
    <t>IUSA_MCLT</t>
  </si>
  <si>
    <t>IUSA_DMDAL</t>
  </si>
  <si>
    <t>IUSA_DMFOT</t>
  </si>
  <si>
    <t>IUSA_DMDLL</t>
  </si>
  <si>
    <t>IUSA_DMMIA</t>
  </si>
  <si>
    <t>IUSA_MORL</t>
  </si>
  <si>
    <t>IUSA_MRAL</t>
  </si>
  <si>
    <t>IUSA_MDUR</t>
  </si>
  <si>
    <t>IUSA_MRIV</t>
  </si>
  <si>
    <t>IUSA_MTAM</t>
  </si>
  <si>
    <t>IUSA</t>
  </si>
  <si>
    <t>IUSA_DMEVE</t>
  </si>
  <si>
    <t>Orange County</t>
  </si>
  <si>
    <t>Portland</t>
  </si>
  <si>
    <t>San Jose</t>
  </si>
  <si>
    <t>San Diego</t>
  </si>
  <si>
    <t>Ventura County</t>
  </si>
  <si>
    <t>Fairfield County</t>
  </si>
  <si>
    <t>Boston</t>
  </si>
  <si>
    <t>New York Metro</t>
  </si>
  <si>
    <t>Northern New Jersey</t>
  </si>
  <si>
    <t>Long Island</t>
  </si>
  <si>
    <t>District of Columbia</t>
  </si>
  <si>
    <t>Atlanta</t>
  </si>
  <si>
    <t>Austin</t>
  </si>
  <si>
    <t>Central New Jersey</t>
  </si>
  <si>
    <t>Charleston</t>
  </si>
  <si>
    <t>Charlotte</t>
  </si>
  <si>
    <t>Dallas</t>
  </si>
  <si>
    <t>Fort Lauderdale</t>
  </si>
  <si>
    <t>Fort Worth</t>
  </si>
  <si>
    <t>Miami</t>
  </si>
  <si>
    <t>Orlando</t>
  </si>
  <si>
    <t>Tampa-St. Petersburg</t>
  </si>
  <si>
    <t>1. Add market to the list below. Use REIS defined market naming and abbreviations</t>
  </si>
  <si>
    <t>Mnemonics</t>
  </si>
  <si>
    <t>Number</t>
  </si>
  <si>
    <t>FHHOLDQ</t>
  </si>
  <si>
    <t>FPOP2024Q</t>
  </si>
  <si>
    <t>FPOP2529Q</t>
  </si>
  <si>
    <t>FPOP3034Q</t>
  </si>
  <si>
    <t>FPOPQ</t>
  </si>
  <si>
    <t>FYHHMEDQ</t>
  </si>
  <si>
    <t>FET</t>
  </si>
  <si>
    <t>FCPIU</t>
  </si>
  <si>
    <t>FGDP$Q</t>
  </si>
  <si>
    <t>FHPNR</t>
  </si>
  <si>
    <t>FHPNM</t>
  </si>
  <si>
    <t>FHX1</t>
  </si>
  <si>
    <t>FHX1MED</t>
  </si>
  <si>
    <t>DE</t>
  </si>
  <si>
    <t>OA</t>
  </si>
  <si>
    <t>PO</t>
  </si>
  <si>
    <t>SE</t>
  </si>
  <si>
    <t>VN</t>
  </si>
  <si>
    <t>BO</t>
  </si>
  <si>
    <t>NY</t>
  </si>
  <si>
    <t>NJ</t>
  </si>
  <si>
    <t>AT</t>
  </si>
  <si>
    <t>AU</t>
  </si>
  <si>
    <t>CJ</t>
  </si>
  <si>
    <t>CN</t>
  </si>
  <si>
    <t>CR</t>
  </si>
  <si>
    <t>DA</t>
  </si>
  <si>
    <t>MI</t>
  </si>
  <si>
    <t>OR</t>
  </si>
  <si>
    <t>RD</t>
  </si>
  <si>
    <t>TA</t>
  </si>
  <si>
    <t>San Bernardino/Riverside</t>
  </si>
  <si>
    <t>US Metro Total</t>
  </si>
  <si>
    <t>MMC_abbrev</t>
  </si>
  <si>
    <t>Method</t>
  </si>
  <si>
    <t>geocodes:</t>
  </si>
  <si>
    <t>3. Add mnemonics</t>
  </si>
  <si>
    <t>Instructions:</t>
  </si>
  <si>
    <t xml:space="preserve"> - Perform steps 1-3 under the tab 'geocodes &amp; mnemonic list'</t>
  </si>
  <si>
    <t>sum</t>
  </si>
  <si>
    <t>Description</t>
  </si>
  <si>
    <t>Baseline Scenario (August 2025): Households: Total, (Ths. #, NSA)</t>
  </si>
  <si>
    <t>Baseline Scenario (August 2025): Population: Ages 20-24, (Ths. #, NSA)</t>
  </si>
  <si>
    <t>Baseline Scenario (August 2025): Population: Ages 25-29, (Ths. #, NSA)</t>
  </si>
  <si>
    <t>Baseline Scenario (August 2025): Population: Ages 30-34, (Ths. #, NSA)</t>
  </si>
  <si>
    <t>Baseline Scenario (August 2025): Population: Total, (Ths. #, NSA)</t>
  </si>
  <si>
    <t>Baseline Scenario (August 2025): Income: Median Household, (USD, SAAR)</t>
  </si>
  <si>
    <t>Baseline Scenario (August 2025): Employment: Total Non-Agricultural, (Ths. #, SA)</t>
  </si>
  <si>
    <t>Baseline Scenario (August 2025): CPI: Total - All Urban Consumers, (Index 1982-84=100, SA)</t>
  </si>
  <si>
    <t>Baseline Scenario (August 2025): Gross Metro Product: Total, (Bil. Ch. 2017 USD, SAAR)</t>
  </si>
  <si>
    <t>Baseline Scenario (August 2025): Permits: Residential - Total, (#, SAAR)</t>
  </si>
  <si>
    <t>Baseline Scenario (August 2025): Permits: Residential - Multifamily, (#, SAAR)</t>
  </si>
  <si>
    <t>Baseline Scenario (August 2025): Home Sales: Existing Single-Family, (Ths. #, SAAR)</t>
  </si>
  <si>
    <t>Baseline Scenario (August 2025): Existing Single-Family Home Price: Median, (Ths. USD, SA)</t>
  </si>
  <si>
    <t>Market:</t>
  </si>
  <si>
    <t>weighted avg</t>
  </si>
  <si>
    <t>EVE</t>
  </si>
  <si>
    <t>Seattle 1</t>
  </si>
  <si>
    <t>Seattle 2</t>
  </si>
  <si>
    <t>San Francisco 1</t>
  </si>
  <si>
    <t>San Francisco 2</t>
  </si>
  <si>
    <t>Raleigh-Durham 1</t>
  </si>
  <si>
    <t>Raleigh-Durham 2</t>
  </si>
  <si>
    <r>
      <t>(</t>
    </r>
    <r>
      <rPr>
        <i/>
        <sz val="11"/>
        <color rgb="FFFF0000"/>
        <rFont val="Calibri"/>
        <family val="2"/>
        <scheme val="minor"/>
      </rPr>
      <t>Note: For markets with two mnemonics, a separate process will aggregate the data</t>
    </r>
  </si>
  <si>
    <t>append a '1' and '2' to the market name as shown below for SF, SEA and RAL-DUR)</t>
  </si>
  <si>
    <t>Mnemonics:</t>
  </si>
  <si>
    <t xml:space="preserve"> - Take the compiled basket of mnemonics on the right (copy all, do not worry about the blank space when pasting into the basket, it will automatically remove gaps)</t>
  </si>
  <si>
    <t xml:space="preserve"> - Provide the name of the basket (e.g. TM Forecast - Data Buffet) and adjust</t>
  </si>
  <si>
    <t>inside the script. It's recommended to keep a consistent name of the basket</t>
  </si>
  <si>
    <t>for the MA DataBuffet API to pull this data.</t>
  </si>
  <si>
    <t>Paste from 'geocodes &amp; mnemonic list':</t>
  </si>
  <si>
    <t>Copy the dictionary below into tm_dict:</t>
  </si>
  <si>
    <t>(Note: remember to remove comma from the last key/value set)</t>
  </si>
  <si>
    <t>Aggregation Method:</t>
  </si>
  <si>
    <t>1st geocode</t>
  </si>
  <si>
    <t>2nd geocode</t>
  </si>
  <si>
    <t>Seattle</t>
  </si>
  <si>
    <t>San Francisco</t>
  </si>
  <si>
    <t>Raleigh-Durham</t>
  </si>
  <si>
    <t xml:space="preserve">*Enter list number next to </t>
  </si>
  <si>
    <t xml:space="preserve"> ~ FPOPQ is the weighting factor for weighted average aggregations</t>
  </si>
  <si>
    <t/>
  </si>
  <si>
    <t>FPOP2024Q.IUSA_DMSEB+FPOP2024Q.IUSA_DMEVE,"</t>
  </si>
  <si>
    <t>FPOP2024Q.IUSA_DMSRF+FPOP2024Q.IUSA_DMSAF,"</t>
  </si>
  <si>
    <t>FPOP2024Q.IUSA_MDUR+FPOP2024Q.IUSA_MRAL,"</t>
  </si>
  <si>
    <r>
      <t xml:space="preserve">Copy/paste the list below for the </t>
    </r>
    <r>
      <rPr>
        <b/>
        <u/>
        <sz val="11"/>
        <color rgb="FFFF0000"/>
        <rFont val="Calibri"/>
        <family val="2"/>
        <scheme val="minor"/>
      </rPr>
      <t>Single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Geocode</t>
    </r>
    <r>
      <rPr>
        <u/>
        <sz val="11"/>
        <color theme="1"/>
        <rFont val="Calibri"/>
        <family val="2"/>
        <scheme val="minor"/>
      </rPr>
      <t xml:space="preserve"> Market Baskets</t>
    </r>
  </si>
  <si>
    <r>
      <t>Copy/paste the list below for the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Double Geocode</t>
    </r>
    <r>
      <rPr>
        <u/>
        <sz val="11"/>
        <color theme="1"/>
        <rFont val="Calibri"/>
        <family val="2"/>
        <scheme val="minor"/>
      </rPr>
      <t xml:space="preserve"> Market Baskets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</si>
</sst>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0" fillId="3" borderId="0" xfId="0" applyFill="1"/>
    <xf numFmtId="0" fontId="4" fillId="3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 vertical="top" wrapText="1"/>
    </xf>
    <xf numFmtId="0" fontId="2" fillId="3" borderId="0" xfId="0" applyFont="1" applyFill="1"/>
    <xf numFmtId="0" fontId="0" fillId="0" borderId="0" xfId="0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</xdr:row>
      <xdr:rowOff>19050</xdr:rowOff>
    </xdr:from>
    <xdr:to>
      <xdr:col>0</xdr:col>
      <xdr:colOff>504825</xdr:colOff>
      <xdr:row>4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64CAC08-00AC-86F0-3105-AF98BC5AE312}"/>
            </a:ext>
          </a:extLst>
        </xdr:cNvPr>
        <xdr:cNvCxnSpPr/>
      </xdr:nvCxnSpPr>
      <xdr:spPr>
        <a:xfrm flipH="1">
          <a:off x="495300" y="590550"/>
          <a:ext cx="9525" cy="361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BA9E-22A6-48A0-A968-98BA5830FBE7}">
  <sheetPr>
    <tabColor theme="9" tint="-0.249977111117893"/>
  </sheetPr>
  <dimension ref="A1:E2503"/>
  <sheetViews>
    <sheetView showGridLines="0" tabSelected="1" topLeftCell="A21" workbookViewId="0">
      <selection activeCell="H47" sqref="H47"/>
    </sheetView>
  </sheetViews>
  <sheetFormatPr defaultRowHeight="15" x14ac:dyDescent="0.25"/>
  <cols>
    <col min="1" max="1" width="79" customWidth="1"/>
    <col min="3" max="3" width="61" customWidth="1"/>
    <col min="4" max="4" width="5.42578125" customWidth="1"/>
    <col min="5" max="5" width="53" customWidth="1"/>
  </cols>
  <sheetData>
    <row r="1" spans="1:5" x14ac:dyDescent="0.25">
      <c r="A1" t="s">
        <v>133</v>
      </c>
      <c r="C1" s="1" t="s">
        <v>181</v>
      </c>
      <c r="E1" s="1" t="s">
        <v>182</v>
      </c>
    </row>
    <row r="2" spans="1:5" x14ac:dyDescent="0.25">
      <c r="A2" t="s">
        <v>134</v>
      </c>
      <c r="C2" s="14"/>
    </row>
    <row r="3" spans="1:5" ht="15.75" thickBot="1" x14ac:dyDescent="0.3">
      <c r="A3" s="21" t="s">
        <v>162</v>
      </c>
    </row>
    <row r="4" spans="1:5" x14ac:dyDescent="0.25">
      <c r="A4" s="21"/>
      <c r="C4" s="18" t="str" cm="1">
        <f t="array" ref="C4:C2503">_xlfn.TOCOL('Single Geocode compiler'!$D$4:$BA$54,3)</f>
        <v>FHHOLDQ.IUSA_MDEN</v>
      </c>
      <c r="E4" s="18" t="str" cm="1">
        <f t="array" ref="E4:E592">_xlfn.TOCOL('Double Geocode Compiler'!$E$5:$BB$32,3)</f>
        <v>FHHOLDQ.IUSA_DMSEB+FHHOLDQ.IUSA_DMEVE</v>
      </c>
    </row>
    <row r="5" spans="1:5" x14ac:dyDescent="0.25">
      <c r="A5" s="21"/>
      <c r="C5" s="19" t="str">
        <v>FPOP2024Q.IUSA_MDEN</v>
      </c>
      <c r="E5" t="str">
        <v>FPOP2024Q.IUSA_DMSEB+FPOP2024Q.IUSA_DMEVE</v>
      </c>
    </row>
    <row r="6" spans="1:5" x14ac:dyDescent="0.25">
      <c r="A6" s="21"/>
      <c r="C6" s="19" t="str">
        <v>FPOP2529Q.IUSA_MDEN</v>
      </c>
      <c r="E6" t="str">
        <v>FPOP2529Q.IUSA_DMSEB+FPOP2529Q.IUSA_DMEVE</v>
      </c>
    </row>
    <row r="7" spans="1:5" x14ac:dyDescent="0.25">
      <c r="A7" t="s">
        <v>163</v>
      </c>
      <c r="C7" s="19" t="str">
        <v>FPOP3034Q.IUSA_MDEN</v>
      </c>
      <c r="E7" t="str">
        <v>FPOP3034Q.IUSA_DMSEB+FPOP3034Q.IUSA_DMEVE</v>
      </c>
    </row>
    <row r="8" spans="1:5" x14ac:dyDescent="0.25">
      <c r="A8" t="s">
        <v>164</v>
      </c>
      <c r="C8" s="19" t="str">
        <v>FPOPQ.IUSA_MDEN</v>
      </c>
      <c r="E8" t="str">
        <v>FPOPQ.IUSA_DMSEB+FPOPQ.IUSA_DMEVE</v>
      </c>
    </row>
    <row r="9" spans="1:5" x14ac:dyDescent="0.25">
      <c r="A9" t="s">
        <v>165</v>
      </c>
      <c r="C9" s="19" t="str">
        <v>FYHHMEDQ.IUSA_MDEN</v>
      </c>
      <c r="E9" t="str">
        <v>(FPOPQ.IUSA_DMSEB*FYHHMEDQ.IUSA_DMSEB + FPOPQ.IUSA_DMEVE*FYHHMEDQ.IUSA_DMEVE) / (FPOPQ.IUSA_DMSEB + FPOPQ.IUSA_DMEVE)</v>
      </c>
    </row>
    <row r="10" spans="1:5" x14ac:dyDescent="0.25">
      <c r="C10" s="19" t="str">
        <v>FET.IUSA_MDEN</v>
      </c>
      <c r="E10" t="str">
        <v>FET.IUSA_DMSEB+FET.IUSA_DMEVE</v>
      </c>
    </row>
    <row r="11" spans="1:5" x14ac:dyDescent="0.25">
      <c r="C11" s="19" t="str">
        <v>FCPIU.IUSA_MDEN</v>
      </c>
      <c r="E11" t="str">
        <v>(FPOPQ.IUSA_DMSEB*FCPIU.IUSA_DMSEB + FPOPQ.IUSA_DMEVE*FCPIU.IUSA_DMEVE) / (FPOPQ.IUSA_DMSEB + FPOPQ.IUSA_DMEVE)</v>
      </c>
    </row>
    <row r="12" spans="1:5" x14ac:dyDescent="0.25">
      <c r="C12" s="19" t="str">
        <v>FGDP$Q.IUSA_MDEN</v>
      </c>
      <c r="E12" t="str">
        <v>FGDP$Q.IUSA_DMSEB+FGDP$Q.IUSA_DMEVE</v>
      </c>
    </row>
    <row r="13" spans="1:5" x14ac:dyDescent="0.25">
      <c r="C13" s="19" t="str">
        <v>FHPNR.IUSA_MDEN</v>
      </c>
      <c r="E13" t="str">
        <v>FHPNR.IUSA_DMSEB+FHPNR.IUSA_DMEVE</v>
      </c>
    </row>
    <row r="14" spans="1:5" x14ac:dyDescent="0.25">
      <c r="C14" s="19" t="str">
        <v>FHPNM.IUSA_MDEN</v>
      </c>
      <c r="E14" t="str">
        <v>FHPNM.IUSA_DMSEB+FHPNM.IUSA_DMEVE</v>
      </c>
    </row>
    <row r="15" spans="1:5" x14ac:dyDescent="0.25">
      <c r="C15" s="19" t="str">
        <v>FHX1.IUSA_MDEN</v>
      </c>
      <c r="E15" t="str">
        <v>FHX1.IUSA_DMSEB+FHX1.IUSA_DMEVE</v>
      </c>
    </row>
    <row r="16" spans="1:5" x14ac:dyDescent="0.25">
      <c r="C16" s="19" t="str">
        <v>FHX1MED.IUSA_MDEN</v>
      </c>
      <c r="E16" t="str">
        <v>(FPOPQ.IUSA_DMSEB*FHX1MED.IUSA_DMSEB + FPOPQ.IUSA_DMEVE*FHX1MED.IUSA_DMEVE) / (FPOPQ.IUSA_DMSEB + FPOPQ.IUSA_DMEVE)</v>
      </c>
    </row>
    <row r="17" spans="3:5" x14ac:dyDescent="0.25">
      <c r="C17" s="19" t="str">
        <v/>
      </c>
      <c r="E17" t="str">
        <v>FHHOLDQ.IUSA_DMSRF+FHHOLDQ.IUSA_DMSAF</v>
      </c>
    </row>
    <row r="18" spans="3:5" x14ac:dyDescent="0.25">
      <c r="C18" s="19" t="str">
        <v/>
      </c>
      <c r="E18" t="str">
        <v>FPOP2024Q.IUSA_DMSRF+FPOP2024Q.IUSA_DMSAF</v>
      </c>
    </row>
    <row r="19" spans="3:5" x14ac:dyDescent="0.25">
      <c r="C19" s="19" t="str">
        <v/>
      </c>
      <c r="E19" t="str">
        <v>FPOP2529Q.IUSA_DMSRF+FPOP2529Q.IUSA_DMSAF</v>
      </c>
    </row>
    <row r="20" spans="3:5" x14ac:dyDescent="0.25">
      <c r="C20" s="19" t="str">
        <v/>
      </c>
      <c r="E20" t="str">
        <v>FPOP3034Q.IUSA_DMSRF+FPOP3034Q.IUSA_DMSAF</v>
      </c>
    </row>
    <row r="21" spans="3:5" x14ac:dyDescent="0.25">
      <c r="C21" s="19" t="str">
        <v/>
      </c>
      <c r="E21" t="str">
        <v>FPOPQ.IUSA_DMSRF+FPOPQ.IUSA_DMSAF</v>
      </c>
    </row>
    <row r="22" spans="3:5" x14ac:dyDescent="0.25">
      <c r="C22" s="19" t="str">
        <v/>
      </c>
      <c r="E22" t="str">
        <v>(FPOPQ.IUSA_DMSRF*FYHHMEDQ.IUSA_DMSRF + FPOPQ.IUSA_DMSAF*FYHHMEDQ.IUSA_DMSAF) / (FPOPQ.IUSA_DMSRF + FPOPQ.IUSA_DMSAF)</v>
      </c>
    </row>
    <row r="23" spans="3:5" x14ac:dyDescent="0.25">
      <c r="C23" s="19" t="str">
        <v/>
      </c>
      <c r="E23" t="str">
        <v>FET.IUSA_DMSRF+FET.IUSA_DMSAF</v>
      </c>
    </row>
    <row r="24" spans="3:5" x14ac:dyDescent="0.25">
      <c r="C24" s="19" t="str">
        <v/>
      </c>
      <c r="E24" t="str">
        <v>(FPOPQ.IUSA_DMSRF*FCPIU.IUSA_DMSRF + FPOPQ.IUSA_DMSAF*FCPIU.IUSA_DMSAF) / (FPOPQ.IUSA_DMSRF + FPOPQ.IUSA_DMSAF)</v>
      </c>
    </row>
    <row r="25" spans="3:5" x14ac:dyDescent="0.25">
      <c r="C25" s="19" t="str">
        <v/>
      </c>
      <c r="E25" t="str">
        <v>FGDP$Q.IUSA_DMSRF+FGDP$Q.IUSA_DMSAF</v>
      </c>
    </row>
    <row r="26" spans="3:5" x14ac:dyDescent="0.25">
      <c r="C26" s="19" t="str">
        <v/>
      </c>
      <c r="E26" t="str">
        <v>FHPNR.IUSA_DMSRF+FHPNR.IUSA_DMSAF</v>
      </c>
    </row>
    <row r="27" spans="3:5" x14ac:dyDescent="0.25">
      <c r="C27" s="19" t="str">
        <v/>
      </c>
      <c r="E27" t="str">
        <v>FHPNM.IUSA_DMSRF+FHPNM.IUSA_DMSAF</v>
      </c>
    </row>
    <row r="28" spans="3:5" x14ac:dyDescent="0.25">
      <c r="C28" s="19" t="str">
        <v/>
      </c>
      <c r="E28" t="str">
        <v>FHX1.IUSA_DMSRF+FHX1.IUSA_DMSAF</v>
      </c>
    </row>
    <row r="29" spans="3:5" x14ac:dyDescent="0.25">
      <c r="C29" s="19" t="str">
        <v/>
      </c>
      <c r="E29" t="str">
        <v>(FPOPQ.IUSA_DMSRF*FHX1MED.IUSA_DMSRF + FPOPQ.IUSA_DMSAF*FHX1MED.IUSA_DMSAF) / (FPOPQ.IUSA_DMSRF + FPOPQ.IUSA_DMSAF)</v>
      </c>
    </row>
    <row r="30" spans="3:5" x14ac:dyDescent="0.25">
      <c r="C30" s="19" t="str">
        <v/>
      </c>
      <c r="E30" t="str">
        <v>FHHOLDQ.IUSA_MDUR+FHHOLDQ.IUSA_MRAL</v>
      </c>
    </row>
    <row r="31" spans="3:5" x14ac:dyDescent="0.25">
      <c r="C31" s="19" t="str">
        <v/>
      </c>
      <c r="E31" t="str">
        <v>FPOP2024Q.IUSA_MDUR+FPOP2024Q.IUSA_MRAL</v>
      </c>
    </row>
    <row r="32" spans="3:5" x14ac:dyDescent="0.25">
      <c r="C32" s="19" t="str">
        <v/>
      </c>
      <c r="E32" t="str">
        <v>FPOP2529Q.IUSA_MDUR+FPOP2529Q.IUSA_MRAL</v>
      </c>
    </row>
    <row r="33" spans="3:5" x14ac:dyDescent="0.25">
      <c r="C33" s="19" t="str">
        <v/>
      </c>
      <c r="E33" t="str">
        <v>FPOP3034Q.IUSA_MDUR+FPOP3034Q.IUSA_MRAL</v>
      </c>
    </row>
    <row r="34" spans="3:5" x14ac:dyDescent="0.25">
      <c r="C34" s="19" t="str">
        <v/>
      </c>
      <c r="E34" t="str">
        <v>FPOPQ.IUSA_MDUR+FPOPQ.IUSA_MRAL</v>
      </c>
    </row>
    <row r="35" spans="3:5" x14ac:dyDescent="0.25">
      <c r="C35" s="19" t="str">
        <v/>
      </c>
      <c r="E35" t="str">
        <v>(FPOPQ.IUSA_MDUR*FYHHMEDQ.IUSA_MDUR + FPOPQ.IUSA_MRAL*FYHHMEDQ.IUSA_MRAL) / (FPOPQ.IUSA_MDUR + FPOPQ.IUSA_MRAL)</v>
      </c>
    </row>
    <row r="36" spans="3:5" x14ac:dyDescent="0.25">
      <c r="C36" s="19" t="str">
        <v/>
      </c>
      <c r="E36" t="str">
        <v>FET.IUSA_MDUR+FET.IUSA_MRAL</v>
      </c>
    </row>
    <row r="37" spans="3:5" x14ac:dyDescent="0.25">
      <c r="C37" s="19" t="str">
        <v/>
      </c>
      <c r="E37" t="str">
        <v>(FPOPQ.IUSA_MDUR*FCPIU.IUSA_MDUR + FPOPQ.IUSA_MRAL*FCPIU.IUSA_MRAL) / (FPOPQ.IUSA_MDUR + FPOPQ.IUSA_MRAL)</v>
      </c>
    </row>
    <row r="38" spans="3:5" x14ac:dyDescent="0.25">
      <c r="C38" s="19" t="str">
        <v/>
      </c>
      <c r="E38" t="str">
        <v>FGDP$Q.IUSA_MDUR+FGDP$Q.IUSA_MRAL</v>
      </c>
    </row>
    <row r="39" spans="3:5" x14ac:dyDescent="0.25">
      <c r="C39" s="19" t="str">
        <v/>
      </c>
      <c r="E39" t="str">
        <v>FHPNR.IUSA_MDUR+FHPNR.IUSA_MRAL</v>
      </c>
    </row>
    <row r="40" spans="3:5" x14ac:dyDescent="0.25">
      <c r="C40" s="19" t="str">
        <v/>
      </c>
      <c r="E40" t="str">
        <v>FHPNM.IUSA_MDUR+FHPNM.IUSA_MRAL</v>
      </c>
    </row>
    <row r="41" spans="3:5" x14ac:dyDescent="0.25">
      <c r="C41" s="19" t="str">
        <v/>
      </c>
      <c r="E41" t="str">
        <v>FHX1.IUSA_MDUR+FHX1.IUSA_MRAL</v>
      </c>
    </row>
    <row r="42" spans="3:5" x14ac:dyDescent="0.25">
      <c r="C42" s="19" t="str">
        <v/>
      </c>
      <c r="E42" t="str">
        <v>(FPOPQ.IUSA_MDUR*FHX1MED.IUSA_MDUR + FPOPQ.IUSA_MRAL*FHX1MED.IUSA_MRAL) / (FPOPQ.IUSA_MDUR + FPOPQ.IUSA_MRAL)</v>
      </c>
    </row>
    <row r="43" spans="3:5" x14ac:dyDescent="0.25">
      <c r="C43" s="19" t="str">
        <v/>
      </c>
      <c r="E43" t="str">
        <v/>
      </c>
    </row>
    <row r="44" spans="3:5" x14ac:dyDescent="0.25">
      <c r="C44" s="19" t="str">
        <v/>
      </c>
      <c r="E44" t="str">
        <v/>
      </c>
    </row>
    <row r="45" spans="3:5" x14ac:dyDescent="0.25">
      <c r="C45" s="19" t="str">
        <v/>
      </c>
      <c r="E45" t="str">
        <v/>
      </c>
    </row>
    <row r="46" spans="3:5" x14ac:dyDescent="0.25">
      <c r="C46" s="19" t="str">
        <v/>
      </c>
      <c r="E46" t="str">
        <v/>
      </c>
    </row>
    <row r="47" spans="3:5" x14ac:dyDescent="0.25">
      <c r="C47" s="19" t="str">
        <v/>
      </c>
      <c r="E47" t="str">
        <v/>
      </c>
    </row>
    <row r="48" spans="3:5" x14ac:dyDescent="0.25">
      <c r="C48" s="19" t="str">
        <v/>
      </c>
      <c r="E48" t="str">
        <v/>
      </c>
    </row>
    <row r="49" spans="3:5" x14ac:dyDescent="0.25">
      <c r="C49" s="19" t="str">
        <v/>
      </c>
      <c r="E49" t="str">
        <v/>
      </c>
    </row>
    <row r="50" spans="3:5" x14ac:dyDescent="0.25">
      <c r="C50" s="19" t="str">
        <v/>
      </c>
      <c r="E50" t="str">
        <v/>
      </c>
    </row>
    <row r="51" spans="3:5" x14ac:dyDescent="0.25">
      <c r="C51" s="19" t="str">
        <v/>
      </c>
      <c r="E51" t="str">
        <v/>
      </c>
    </row>
    <row r="52" spans="3:5" x14ac:dyDescent="0.25">
      <c r="C52" s="19" t="str">
        <v/>
      </c>
      <c r="E52" t="str">
        <v/>
      </c>
    </row>
    <row r="53" spans="3:5" x14ac:dyDescent="0.25">
      <c r="C53" s="19" t="str">
        <v/>
      </c>
      <c r="E53" t="str">
        <v/>
      </c>
    </row>
    <row r="54" spans="3:5" x14ac:dyDescent="0.25">
      <c r="C54" s="19" t="str">
        <v>FHHOLDQ.IUSA_DMLOS</v>
      </c>
      <c r="E54" t="str">
        <v/>
      </c>
    </row>
    <row r="55" spans="3:5" x14ac:dyDescent="0.25">
      <c r="C55" s="19" t="str">
        <v>FPOP2024Q.IUSA_DMLOS</v>
      </c>
      <c r="E55" t="str">
        <v/>
      </c>
    </row>
    <row r="56" spans="3:5" x14ac:dyDescent="0.25">
      <c r="C56" s="19" t="str">
        <v>FPOP2529Q.IUSA_DMLOS</v>
      </c>
      <c r="E56" t="str">
        <v/>
      </c>
    </row>
    <row r="57" spans="3:5" x14ac:dyDescent="0.25">
      <c r="C57" s="19" t="str">
        <v>FPOP3034Q.IUSA_DMLOS</v>
      </c>
      <c r="E57" t="str">
        <v/>
      </c>
    </row>
    <row r="58" spans="3:5" x14ac:dyDescent="0.25">
      <c r="C58" s="19" t="str">
        <v>FPOPQ.IUSA_DMLOS</v>
      </c>
      <c r="E58" t="str">
        <v/>
      </c>
    </row>
    <row r="59" spans="3:5" x14ac:dyDescent="0.25">
      <c r="C59" s="19" t="str">
        <v>FYHHMEDQ.IUSA_DMLOS</v>
      </c>
      <c r="E59" t="str">
        <v/>
      </c>
    </row>
    <row r="60" spans="3:5" x14ac:dyDescent="0.25">
      <c r="C60" s="19" t="str">
        <v>FET.IUSA_DMLOS</v>
      </c>
      <c r="E60" t="str">
        <v/>
      </c>
    </row>
    <row r="61" spans="3:5" x14ac:dyDescent="0.25">
      <c r="C61" s="19" t="str">
        <v>FCPIU.IUSA_DMLOS</v>
      </c>
      <c r="E61" t="str">
        <v/>
      </c>
    </row>
    <row r="62" spans="3:5" x14ac:dyDescent="0.25">
      <c r="C62" s="19" t="str">
        <v>FGDP$Q.IUSA_DMLOS</v>
      </c>
      <c r="E62" t="str">
        <v/>
      </c>
    </row>
    <row r="63" spans="3:5" x14ac:dyDescent="0.25">
      <c r="C63" s="19" t="str">
        <v>FHPNR.IUSA_DMLOS</v>
      </c>
      <c r="E63" t="str">
        <v/>
      </c>
    </row>
    <row r="64" spans="3:5" x14ac:dyDescent="0.25">
      <c r="C64" s="19" t="str">
        <v>FHPNM.IUSA_DMLOS</v>
      </c>
      <c r="E64" t="str">
        <v/>
      </c>
    </row>
    <row r="65" spans="3:5" x14ac:dyDescent="0.25">
      <c r="C65" s="19" t="str">
        <v>FHX1.IUSA_DMLOS</v>
      </c>
      <c r="E65" t="str">
        <v/>
      </c>
    </row>
    <row r="66" spans="3:5" x14ac:dyDescent="0.25">
      <c r="C66" s="19" t="str">
        <v>FHX1MED.IUSA_DMLOS</v>
      </c>
      <c r="E66" t="str">
        <v/>
      </c>
    </row>
    <row r="67" spans="3:5" x14ac:dyDescent="0.25">
      <c r="C67" s="19" t="str">
        <v/>
      </c>
      <c r="E67" t="str">
        <v/>
      </c>
    </row>
    <row r="68" spans="3:5" x14ac:dyDescent="0.25">
      <c r="C68" s="19" t="str">
        <v/>
      </c>
      <c r="E68" t="str">
        <v/>
      </c>
    </row>
    <row r="69" spans="3:5" x14ac:dyDescent="0.25">
      <c r="C69" s="19" t="str">
        <v/>
      </c>
      <c r="E69" t="str">
        <v/>
      </c>
    </row>
    <row r="70" spans="3:5" x14ac:dyDescent="0.25">
      <c r="C70" s="19" t="str">
        <v/>
      </c>
      <c r="E70" t="str">
        <v/>
      </c>
    </row>
    <row r="71" spans="3:5" x14ac:dyDescent="0.25">
      <c r="C71" s="19" t="str">
        <v/>
      </c>
      <c r="E71" t="str">
        <v/>
      </c>
    </row>
    <row r="72" spans="3:5" x14ac:dyDescent="0.25">
      <c r="C72" s="19" t="str">
        <v/>
      </c>
      <c r="E72" t="str">
        <v/>
      </c>
    </row>
    <row r="73" spans="3:5" x14ac:dyDescent="0.25">
      <c r="C73" s="19" t="str">
        <v/>
      </c>
      <c r="E73" t="str">
        <v/>
      </c>
    </row>
    <row r="74" spans="3:5" x14ac:dyDescent="0.25">
      <c r="C74" s="19" t="str">
        <v/>
      </c>
      <c r="E74" t="str">
        <v/>
      </c>
    </row>
    <row r="75" spans="3:5" x14ac:dyDescent="0.25">
      <c r="C75" s="19" t="str">
        <v/>
      </c>
      <c r="E75" t="str">
        <v/>
      </c>
    </row>
    <row r="76" spans="3:5" x14ac:dyDescent="0.25">
      <c r="C76" s="19" t="str">
        <v/>
      </c>
      <c r="E76" t="str">
        <v/>
      </c>
    </row>
    <row r="77" spans="3:5" x14ac:dyDescent="0.25">
      <c r="C77" s="19" t="str">
        <v/>
      </c>
      <c r="E77" t="str">
        <v/>
      </c>
    </row>
    <row r="78" spans="3:5" x14ac:dyDescent="0.25">
      <c r="C78" s="19" t="str">
        <v/>
      </c>
      <c r="E78" t="str">
        <v/>
      </c>
    </row>
    <row r="79" spans="3:5" x14ac:dyDescent="0.25">
      <c r="C79" s="19" t="str">
        <v/>
      </c>
      <c r="E79" t="str">
        <v/>
      </c>
    </row>
    <row r="80" spans="3:5" x14ac:dyDescent="0.25">
      <c r="C80" s="19" t="str">
        <v/>
      </c>
      <c r="E80" t="str">
        <v/>
      </c>
    </row>
    <row r="81" spans="3:5" x14ac:dyDescent="0.25">
      <c r="C81" s="19" t="str">
        <v/>
      </c>
      <c r="E81" t="str">
        <v/>
      </c>
    </row>
    <row r="82" spans="3:5" x14ac:dyDescent="0.25">
      <c r="C82" s="19" t="str">
        <v/>
      </c>
      <c r="E82" t="str">
        <v/>
      </c>
    </row>
    <row r="83" spans="3:5" x14ac:dyDescent="0.25">
      <c r="C83" s="19" t="str">
        <v/>
      </c>
      <c r="E83" t="str">
        <v/>
      </c>
    </row>
    <row r="84" spans="3:5" x14ac:dyDescent="0.25">
      <c r="C84" s="19" t="str">
        <v/>
      </c>
      <c r="E84" t="str">
        <v/>
      </c>
    </row>
    <row r="85" spans="3:5" x14ac:dyDescent="0.25">
      <c r="C85" s="19" t="str">
        <v/>
      </c>
      <c r="E85" t="str">
        <v/>
      </c>
    </row>
    <row r="86" spans="3:5" x14ac:dyDescent="0.25">
      <c r="C86" s="19" t="str">
        <v/>
      </c>
      <c r="E86" t="str">
        <v/>
      </c>
    </row>
    <row r="87" spans="3:5" x14ac:dyDescent="0.25">
      <c r="C87" s="19" t="str">
        <v/>
      </c>
      <c r="E87" t="str">
        <v/>
      </c>
    </row>
    <row r="88" spans="3:5" x14ac:dyDescent="0.25">
      <c r="C88" s="19" t="str">
        <v/>
      </c>
      <c r="E88" t="str">
        <v/>
      </c>
    </row>
    <row r="89" spans="3:5" x14ac:dyDescent="0.25">
      <c r="C89" s="19" t="str">
        <v/>
      </c>
      <c r="E89" t="str">
        <v/>
      </c>
    </row>
    <row r="90" spans="3:5" x14ac:dyDescent="0.25">
      <c r="C90" s="19" t="str">
        <v/>
      </c>
      <c r="E90" t="str">
        <v/>
      </c>
    </row>
    <row r="91" spans="3:5" x14ac:dyDescent="0.25">
      <c r="C91" s="19" t="str">
        <v/>
      </c>
      <c r="E91" t="str">
        <v/>
      </c>
    </row>
    <row r="92" spans="3:5" x14ac:dyDescent="0.25">
      <c r="C92" s="19" t="str">
        <v/>
      </c>
      <c r="E92" t="str">
        <v/>
      </c>
    </row>
    <row r="93" spans="3:5" x14ac:dyDescent="0.25">
      <c r="C93" s="19" t="str">
        <v/>
      </c>
      <c r="E93" t="str">
        <v/>
      </c>
    </row>
    <row r="94" spans="3:5" x14ac:dyDescent="0.25">
      <c r="C94" s="19" t="str">
        <v/>
      </c>
      <c r="E94" t="str">
        <v/>
      </c>
    </row>
    <row r="95" spans="3:5" x14ac:dyDescent="0.25">
      <c r="C95" s="19" t="str">
        <v/>
      </c>
      <c r="E95" t="str">
        <v/>
      </c>
    </row>
    <row r="96" spans="3:5" x14ac:dyDescent="0.25">
      <c r="C96" s="19" t="str">
        <v/>
      </c>
      <c r="E96" t="str">
        <v/>
      </c>
    </row>
    <row r="97" spans="3:5" x14ac:dyDescent="0.25">
      <c r="C97" s="19" t="str">
        <v/>
      </c>
      <c r="E97" t="str">
        <v/>
      </c>
    </row>
    <row r="98" spans="3:5" x14ac:dyDescent="0.25">
      <c r="C98" s="19" t="str">
        <v/>
      </c>
      <c r="E98" t="str">
        <v/>
      </c>
    </row>
    <row r="99" spans="3:5" x14ac:dyDescent="0.25">
      <c r="C99" s="19" t="str">
        <v/>
      </c>
      <c r="E99" t="str">
        <v/>
      </c>
    </row>
    <row r="100" spans="3:5" x14ac:dyDescent="0.25">
      <c r="C100" s="19" t="str">
        <v/>
      </c>
      <c r="E100" t="str">
        <v/>
      </c>
    </row>
    <row r="101" spans="3:5" x14ac:dyDescent="0.25">
      <c r="C101" s="19" t="str">
        <v/>
      </c>
      <c r="E101" t="str">
        <v/>
      </c>
    </row>
    <row r="102" spans="3:5" x14ac:dyDescent="0.25">
      <c r="C102" s="19" t="str">
        <v/>
      </c>
      <c r="E102" t="str">
        <v/>
      </c>
    </row>
    <row r="103" spans="3:5" x14ac:dyDescent="0.25">
      <c r="C103" s="19" t="str">
        <v/>
      </c>
      <c r="E103" t="str">
        <v/>
      </c>
    </row>
    <row r="104" spans="3:5" x14ac:dyDescent="0.25">
      <c r="C104" s="19" t="str">
        <v>FHHOLDQ.IUSA_DMOAK</v>
      </c>
      <c r="E104" t="str">
        <v/>
      </c>
    </row>
    <row r="105" spans="3:5" x14ac:dyDescent="0.25">
      <c r="C105" s="19" t="str">
        <v>FPOP2024Q.IUSA_DMOAK</v>
      </c>
      <c r="E105" t="str">
        <v/>
      </c>
    </row>
    <row r="106" spans="3:5" x14ac:dyDescent="0.25">
      <c r="C106" s="19" t="str">
        <v>FPOP2529Q.IUSA_DMOAK</v>
      </c>
      <c r="E106" t="str">
        <v/>
      </c>
    </row>
    <row r="107" spans="3:5" x14ac:dyDescent="0.25">
      <c r="C107" s="19" t="str">
        <v>FPOP3034Q.IUSA_DMOAK</v>
      </c>
      <c r="E107" t="str">
        <v/>
      </c>
    </row>
    <row r="108" spans="3:5" x14ac:dyDescent="0.25">
      <c r="C108" s="19" t="str">
        <v>FPOPQ.IUSA_DMOAK</v>
      </c>
      <c r="E108" t="str">
        <v/>
      </c>
    </row>
    <row r="109" spans="3:5" x14ac:dyDescent="0.25">
      <c r="C109" s="19" t="str">
        <v>FYHHMEDQ.IUSA_DMOAK</v>
      </c>
      <c r="E109" t="str">
        <v/>
      </c>
    </row>
    <row r="110" spans="3:5" x14ac:dyDescent="0.25">
      <c r="C110" s="19" t="str">
        <v>FET.IUSA_DMOAK</v>
      </c>
      <c r="E110" t="str">
        <v/>
      </c>
    </row>
    <row r="111" spans="3:5" x14ac:dyDescent="0.25">
      <c r="C111" s="19" t="str">
        <v>FCPIU.IUSA_DMOAK</v>
      </c>
      <c r="E111" t="str">
        <v/>
      </c>
    </row>
    <row r="112" spans="3:5" x14ac:dyDescent="0.25">
      <c r="C112" s="19" t="str">
        <v>FGDP$Q.IUSA_DMOAK</v>
      </c>
      <c r="E112" t="str">
        <v/>
      </c>
    </row>
    <row r="113" spans="3:5" x14ac:dyDescent="0.25">
      <c r="C113" s="19" t="str">
        <v>FHPNR.IUSA_DMOAK</v>
      </c>
      <c r="E113" t="str">
        <v/>
      </c>
    </row>
    <row r="114" spans="3:5" x14ac:dyDescent="0.25">
      <c r="C114" s="19" t="str">
        <v>FHPNM.IUSA_DMOAK</v>
      </c>
      <c r="E114" t="str">
        <v/>
      </c>
    </row>
    <row r="115" spans="3:5" x14ac:dyDescent="0.25">
      <c r="C115" s="19" t="str">
        <v>FHX1.IUSA_DMOAK</v>
      </c>
      <c r="E115" t="str">
        <v/>
      </c>
    </row>
    <row r="116" spans="3:5" x14ac:dyDescent="0.25">
      <c r="C116" s="19" t="str">
        <v>FHX1MED.IUSA_DMOAK</v>
      </c>
      <c r="E116" t="str">
        <v/>
      </c>
    </row>
    <row r="117" spans="3:5" x14ac:dyDescent="0.25">
      <c r="C117" s="19" t="str">
        <v/>
      </c>
      <c r="E117" t="str">
        <v/>
      </c>
    </row>
    <row r="118" spans="3:5" x14ac:dyDescent="0.25">
      <c r="C118" s="19" t="str">
        <v/>
      </c>
      <c r="E118" t="str">
        <v/>
      </c>
    </row>
    <row r="119" spans="3:5" x14ac:dyDescent="0.25">
      <c r="C119" s="19" t="str">
        <v/>
      </c>
      <c r="E119" t="str">
        <v/>
      </c>
    </row>
    <row r="120" spans="3:5" x14ac:dyDescent="0.25">
      <c r="C120" s="19" t="str">
        <v/>
      </c>
      <c r="E120" t="str">
        <v/>
      </c>
    </row>
    <row r="121" spans="3:5" x14ac:dyDescent="0.25">
      <c r="C121" s="19" t="str">
        <v/>
      </c>
      <c r="E121" t="str">
        <v/>
      </c>
    </row>
    <row r="122" spans="3:5" x14ac:dyDescent="0.25">
      <c r="C122" s="19" t="str">
        <v/>
      </c>
      <c r="E122" t="str">
        <v/>
      </c>
    </row>
    <row r="123" spans="3:5" x14ac:dyDescent="0.25">
      <c r="C123" s="19" t="str">
        <v/>
      </c>
      <c r="E123" t="str">
        <v/>
      </c>
    </row>
    <row r="124" spans="3:5" x14ac:dyDescent="0.25">
      <c r="C124" s="19" t="str">
        <v/>
      </c>
      <c r="E124" t="str">
        <v/>
      </c>
    </row>
    <row r="125" spans="3:5" x14ac:dyDescent="0.25">
      <c r="C125" s="19" t="str">
        <v/>
      </c>
      <c r="E125" t="str">
        <v/>
      </c>
    </row>
    <row r="126" spans="3:5" x14ac:dyDescent="0.25">
      <c r="C126" s="19" t="str">
        <v/>
      </c>
      <c r="E126" t="str">
        <v/>
      </c>
    </row>
    <row r="127" spans="3:5" x14ac:dyDescent="0.25">
      <c r="C127" s="19" t="str">
        <v/>
      </c>
      <c r="E127" t="str">
        <v/>
      </c>
    </row>
    <row r="128" spans="3:5" x14ac:dyDescent="0.25">
      <c r="C128" s="19" t="str">
        <v/>
      </c>
      <c r="E128" t="str">
        <v/>
      </c>
    </row>
    <row r="129" spans="3:5" x14ac:dyDescent="0.25">
      <c r="C129" s="19" t="str">
        <v/>
      </c>
      <c r="E129" t="str">
        <v/>
      </c>
    </row>
    <row r="130" spans="3:5" x14ac:dyDescent="0.25">
      <c r="C130" s="19" t="str">
        <v/>
      </c>
      <c r="E130" t="str">
        <v/>
      </c>
    </row>
    <row r="131" spans="3:5" x14ac:dyDescent="0.25">
      <c r="C131" s="19" t="str">
        <v/>
      </c>
      <c r="E131" t="str">
        <v/>
      </c>
    </row>
    <row r="132" spans="3:5" x14ac:dyDescent="0.25">
      <c r="C132" s="19" t="str">
        <v/>
      </c>
      <c r="E132" t="str">
        <v/>
      </c>
    </row>
    <row r="133" spans="3:5" x14ac:dyDescent="0.25">
      <c r="C133" s="19" t="str">
        <v/>
      </c>
      <c r="E133" t="str">
        <v/>
      </c>
    </row>
    <row r="134" spans="3:5" x14ac:dyDescent="0.25">
      <c r="C134" s="19" t="str">
        <v/>
      </c>
      <c r="E134" t="str">
        <v/>
      </c>
    </row>
    <row r="135" spans="3:5" x14ac:dyDescent="0.25">
      <c r="C135" s="19" t="str">
        <v/>
      </c>
      <c r="E135" t="str">
        <v/>
      </c>
    </row>
    <row r="136" spans="3:5" x14ac:dyDescent="0.25">
      <c r="C136" s="19" t="str">
        <v/>
      </c>
      <c r="E136" t="str">
        <v/>
      </c>
    </row>
    <row r="137" spans="3:5" x14ac:dyDescent="0.25">
      <c r="C137" s="19" t="str">
        <v/>
      </c>
      <c r="E137" t="str">
        <v/>
      </c>
    </row>
    <row r="138" spans="3:5" x14ac:dyDescent="0.25">
      <c r="C138" s="19" t="str">
        <v/>
      </c>
      <c r="E138" t="str">
        <v/>
      </c>
    </row>
    <row r="139" spans="3:5" x14ac:dyDescent="0.25">
      <c r="C139" s="19" t="str">
        <v/>
      </c>
      <c r="E139" t="str">
        <v/>
      </c>
    </row>
    <row r="140" spans="3:5" x14ac:dyDescent="0.25">
      <c r="C140" s="19" t="str">
        <v/>
      </c>
      <c r="E140" t="str">
        <v/>
      </c>
    </row>
    <row r="141" spans="3:5" x14ac:dyDescent="0.25">
      <c r="C141" s="19" t="str">
        <v/>
      </c>
      <c r="E141" t="str">
        <v/>
      </c>
    </row>
    <row r="142" spans="3:5" x14ac:dyDescent="0.25">
      <c r="C142" s="19" t="str">
        <v/>
      </c>
      <c r="E142" t="str">
        <v/>
      </c>
    </row>
    <row r="143" spans="3:5" x14ac:dyDescent="0.25">
      <c r="C143" s="19" t="str">
        <v/>
      </c>
      <c r="E143" t="str">
        <v/>
      </c>
    </row>
    <row r="144" spans="3:5" x14ac:dyDescent="0.25">
      <c r="C144" s="19" t="str">
        <v/>
      </c>
      <c r="E144" t="str">
        <v/>
      </c>
    </row>
    <row r="145" spans="3:5" x14ac:dyDescent="0.25">
      <c r="C145" s="19" t="str">
        <v/>
      </c>
      <c r="E145" t="str">
        <v/>
      </c>
    </row>
    <row r="146" spans="3:5" x14ac:dyDescent="0.25">
      <c r="C146" s="19" t="str">
        <v/>
      </c>
      <c r="E146" t="str">
        <v/>
      </c>
    </row>
    <row r="147" spans="3:5" x14ac:dyDescent="0.25">
      <c r="C147" s="19" t="str">
        <v/>
      </c>
      <c r="E147" t="str">
        <v/>
      </c>
    </row>
    <row r="148" spans="3:5" x14ac:dyDescent="0.25">
      <c r="C148" s="19" t="str">
        <v/>
      </c>
      <c r="E148" t="str">
        <v/>
      </c>
    </row>
    <row r="149" spans="3:5" x14ac:dyDescent="0.25">
      <c r="C149" s="19" t="str">
        <v/>
      </c>
      <c r="E149" t="str">
        <v/>
      </c>
    </row>
    <row r="150" spans="3:5" x14ac:dyDescent="0.25">
      <c r="C150" s="19" t="str">
        <v/>
      </c>
      <c r="E150" t="str">
        <v/>
      </c>
    </row>
    <row r="151" spans="3:5" x14ac:dyDescent="0.25">
      <c r="C151" s="19" t="str">
        <v/>
      </c>
      <c r="E151" t="str">
        <v/>
      </c>
    </row>
    <row r="152" spans="3:5" x14ac:dyDescent="0.25">
      <c r="C152" s="19" t="str">
        <v/>
      </c>
      <c r="E152" t="str">
        <v/>
      </c>
    </row>
    <row r="153" spans="3:5" x14ac:dyDescent="0.25">
      <c r="C153" s="19" t="str">
        <v/>
      </c>
      <c r="E153" t="str">
        <v/>
      </c>
    </row>
    <row r="154" spans="3:5" x14ac:dyDescent="0.25">
      <c r="C154" s="19" t="str">
        <v>FHHOLDQ.IUSA_DMANA</v>
      </c>
      <c r="E154" t="str">
        <v/>
      </c>
    </row>
    <row r="155" spans="3:5" x14ac:dyDescent="0.25">
      <c r="C155" s="19" t="str">
        <v>FPOP2024Q.IUSA_DMANA</v>
      </c>
      <c r="E155" t="str">
        <v/>
      </c>
    </row>
    <row r="156" spans="3:5" x14ac:dyDescent="0.25">
      <c r="C156" s="19" t="str">
        <v>FPOP2529Q.IUSA_DMANA</v>
      </c>
      <c r="E156" t="str">
        <v/>
      </c>
    </row>
    <row r="157" spans="3:5" x14ac:dyDescent="0.25">
      <c r="C157" s="19" t="str">
        <v>FPOP3034Q.IUSA_DMANA</v>
      </c>
      <c r="E157" t="str">
        <v/>
      </c>
    </row>
    <row r="158" spans="3:5" x14ac:dyDescent="0.25">
      <c r="C158" s="19" t="str">
        <v>FPOPQ.IUSA_DMANA</v>
      </c>
      <c r="E158" t="str">
        <v/>
      </c>
    </row>
    <row r="159" spans="3:5" x14ac:dyDescent="0.25">
      <c r="C159" s="19" t="str">
        <v>FYHHMEDQ.IUSA_DMANA</v>
      </c>
      <c r="E159" t="str">
        <v/>
      </c>
    </row>
    <row r="160" spans="3:5" x14ac:dyDescent="0.25">
      <c r="C160" s="19" t="str">
        <v>FET.IUSA_DMANA</v>
      </c>
      <c r="E160" t="str">
        <v/>
      </c>
    </row>
    <row r="161" spans="3:5" x14ac:dyDescent="0.25">
      <c r="C161" s="19" t="str">
        <v>FCPIU.IUSA_DMANA</v>
      </c>
      <c r="E161" t="str">
        <v/>
      </c>
    </row>
    <row r="162" spans="3:5" x14ac:dyDescent="0.25">
      <c r="C162" s="19" t="str">
        <v>FGDP$Q.IUSA_DMANA</v>
      </c>
      <c r="E162" t="str">
        <v/>
      </c>
    </row>
    <row r="163" spans="3:5" x14ac:dyDescent="0.25">
      <c r="C163" s="19" t="str">
        <v>FHPNR.IUSA_DMANA</v>
      </c>
      <c r="E163" t="str">
        <v/>
      </c>
    </row>
    <row r="164" spans="3:5" x14ac:dyDescent="0.25">
      <c r="C164" s="19" t="str">
        <v>FHPNM.IUSA_DMANA</v>
      </c>
      <c r="E164" t="str">
        <v/>
      </c>
    </row>
    <row r="165" spans="3:5" x14ac:dyDescent="0.25">
      <c r="C165" s="19" t="str">
        <v>FHX1.IUSA_DMANA</v>
      </c>
      <c r="E165" t="str">
        <v/>
      </c>
    </row>
    <row r="166" spans="3:5" x14ac:dyDescent="0.25">
      <c r="C166" s="19" t="str">
        <v>FHX1MED.IUSA_DMANA</v>
      </c>
      <c r="E166" t="str">
        <v/>
      </c>
    </row>
    <row r="167" spans="3:5" x14ac:dyDescent="0.25">
      <c r="C167" s="19" t="str">
        <v/>
      </c>
      <c r="E167" t="str">
        <v/>
      </c>
    </row>
    <row r="168" spans="3:5" x14ac:dyDescent="0.25">
      <c r="C168" s="19" t="str">
        <v/>
      </c>
      <c r="E168" t="str">
        <v/>
      </c>
    </row>
    <row r="169" spans="3:5" x14ac:dyDescent="0.25">
      <c r="C169" s="19" t="str">
        <v/>
      </c>
      <c r="E169" t="str">
        <v/>
      </c>
    </row>
    <row r="170" spans="3:5" x14ac:dyDescent="0.25">
      <c r="C170" s="19" t="str">
        <v/>
      </c>
      <c r="E170" t="str">
        <v/>
      </c>
    </row>
    <row r="171" spans="3:5" x14ac:dyDescent="0.25">
      <c r="C171" s="19" t="str">
        <v/>
      </c>
      <c r="E171" t="str">
        <v/>
      </c>
    </row>
    <row r="172" spans="3:5" x14ac:dyDescent="0.25">
      <c r="C172" s="19" t="str">
        <v/>
      </c>
      <c r="E172" t="str">
        <v/>
      </c>
    </row>
    <row r="173" spans="3:5" x14ac:dyDescent="0.25">
      <c r="C173" s="19" t="str">
        <v/>
      </c>
      <c r="E173" t="str">
        <v/>
      </c>
    </row>
    <row r="174" spans="3:5" x14ac:dyDescent="0.25">
      <c r="C174" s="19" t="str">
        <v/>
      </c>
      <c r="E174" t="str">
        <v/>
      </c>
    </row>
    <row r="175" spans="3:5" x14ac:dyDescent="0.25">
      <c r="C175" s="19" t="str">
        <v/>
      </c>
      <c r="E175" t="str">
        <v/>
      </c>
    </row>
    <row r="176" spans="3:5" x14ac:dyDescent="0.25">
      <c r="C176" s="19" t="str">
        <v/>
      </c>
      <c r="E176" t="str">
        <v/>
      </c>
    </row>
    <row r="177" spans="3:5" x14ac:dyDescent="0.25">
      <c r="C177" s="19" t="str">
        <v/>
      </c>
      <c r="E177" t="str">
        <v/>
      </c>
    </row>
    <row r="178" spans="3:5" x14ac:dyDescent="0.25">
      <c r="C178" s="19" t="str">
        <v/>
      </c>
      <c r="E178" t="str">
        <v/>
      </c>
    </row>
    <row r="179" spans="3:5" x14ac:dyDescent="0.25">
      <c r="C179" s="19" t="str">
        <v/>
      </c>
      <c r="E179" t="str">
        <v/>
      </c>
    </row>
    <row r="180" spans="3:5" x14ac:dyDescent="0.25">
      <c r="C180" s="19" t="str">
        <v/>
      </c>
      <c r="E180" t="str">
        <v/>
      </c>
    </row>
    <row r="181" spans="3:5" x14ac:dyDescent="0.25">
      <c r="C181" s="19" t="str">
        <v/>
      </c>
      <c r="E181" t="str">
        <v/>
      </c>
    </row>
    <row r="182" spans="3:5" x14ac:dyDescent="0.25">
      <c r="C182" s="19" t="str">
        <v/>
      </c>
      <c r="E182" t="str">
        <v/>
      </c>
    </row>
    <row r="183" spans="3:5" x14ac:dyDescent="0.25">
      <c r="C183" s="19" t="str">
        <v/>
      </c>
      <c r="E183" t="str">
        <v/>
      </c>
    </row>
    <row r="184" spans="3:5" x14ac:dyDescent="0.25">
      <c r="C184" s="19" t="str">
        <v/>
      </c>
      <c r="E184" t="str">
        <v/>
      </c>
    </row>
    <row r="185" spans="3:5" x14ac:dyDescent="0.25">
      <c r="C185" s="19" t="str">
        <v/>
      </c>
      <c r="E185" t="str">
        <v/>
      </c>
    </row>
    <row r="186" spans="3:5" x14ac:dyDescent="0.25">
      <c r="C186" s="19" t="str">
        <v/>
      </c>
      <c r="E186" t="str">
        <v/>
      </c>
    </row>
    <row r="187" spans="3:5" x14ac:dyDescent="0.25">
      <c r="C187" s="19" t="str">
        <v/>
      </c>
      <c r="E187" t="str">
        <v/>
      </c>
    </row>
    <row r="188" spans="3:5" x14ac:dyDescent="0.25">
      <c r="C188" s="19" t="str">
        <v/>
      </c>
      <c r="E188" t="str">
        <v/>
      </c>
    </row>
    <row r="189" spans="3:5" x14ac:dyDescent="0.25">
      <c r="C189" s="19" t="str">
        <v/>
      </c>
      <c r="E189" t="str">
        <v/>
      </c>
    </row>
    <row r="190" spans="3:5" x14ac:dyDescent="0.25">
      <c r="C190" s="19" t="str">
        <v/>
      </c>
      <c r="E190" t="str">
        <v/>
      </c>
    </row>
    <row r="191" spans="3:5" x14ac:dyDescent="0.25">
      <c r="C191" s="19" t="str">
        <v/>
      </c>
      <c r="E191" t="str">
        <v/>
      </c>
    </row>
    <row r="192" spans="3:5" x14ac:dyDescent="0.25">
      <c r="C192" s="19" t="str">
        <v/>
      </c>
      <c r="E192" t="str">
        <v/>
      </c>
    </row>
    <row r="193" spans="3:5" x14ac:dyDescent="0.25">
      <c r="C193" s="19" t="str">
        <v/>
      </c>
      <c r="E193" t="str">
        <v/>
      </c>
    </row>
    <row r="194" spans="3:5" x14ac:dyDescent="0.25">
      <c r="C194" s="19" t="str">
        <v/>
      </c>
      <c r="E194" t="str">
        <v/>
      </c>
    </row>
    <row r="195" spans="3:5" x14ac:dyDescent="0.25">
      <c r="C195" s="19" t="str">
        <v/>
      </c>
      <c r="E195" t="str">
        <v/>
      </c>
    </row>
    <row r="196" spans="3:5" x14ac:dyDescent="0.25">
      <c r="C196" s="19" t="str">
        <v/>
      </c>
      <c r="E196" t="str">
        <v/>
      </c>
    </row>
    <row r="197" spans="3:5" x14ac:dyDescent="0.25">
      <c r="C197" s="19" t="str">
        <v/>
      </c>
      <c r="E197" t="str">
        <v/>
      </c>
    </row>
    <row r="198" spans="3:5" x14ac:dyDescent="0.25">
      <c r="C198" s="19" t="str">
        <v/>
      </c>
      <c r="E198" t="str">
        <v/>
      </c>
    </row>
    <row r="199" spans="3:5" x14ac:dyDescent="0.25">
      <c r="C199" s="19" t="str">
        <v/>
      </c>
      <c r="E199" t="str">
        <v/>
      </c>
    </row>
    <row r="200" spans="3:5" x14ac:dyDescent="0.25">
      <c r="C200" s="19" t="str">
        <v/>
      </c>
      <c r="E200" t="str">
        <v/>
      </c>
    </row>
    <row r="201" spans="3:5" x14ac:dyDescent="0.25">
      <c r="C201" s="19" t="str">
        <v/>
      </c>
      <c r="E201" t="str">
        <v/>
      </c>
    </row>
    <row r="202" spans="3:5" x14ac:dyDescent="0.25">
      <c r="C202" s="19" t="str">
        <v/>
      </c>
      <c r="E202" t="str">
        <v/>
      </c>
    </row>
    <row r="203" spans="3:5" x14ac:dyDescent="0.25">
      <c r="C203" s="19" t="str">
        <v/>
      </c>
      <c r="E203" t="str">
        <v/>
      </c>
    </row>
    <row r="204" spans="3:5" x14ac:dyDescent="0.25">
      <c r="C204" s="19" t="str">
        <v>FHHOLDQ.IUSA_MPOT</v>
      </c>
      <c r="E204" t="str">
        <v/>
      </c>
    </row>
    <row r="205" spans="3:5" x14ac:dyDescent="0.25">
      <c r="C205" s="19" t="str">
        <v>FPOP2024Q.IUSA_MPOT</v>
      </c>
      <c r="E205" t="str">
        <v/>
      </c>
    </row>
    <row r="206" spans="3:5" x14ac:dyDescent="0.25">
      <c r="C206" s="19" t="str">
        <v>FPOP2529Q.IUSA_MPOT</v>
      </c>
      <c r="E206" t="str">
        <v/>
      </c>
    </row>
    <row r="207" spans="3:5" x14ac:dyDescent="0.25">
      <c r="C207" s="19" t="str">
        <v>FPOP3034Q.IUSA_MPOT</v>
      </c>
      <c r="E207" t="str">
        <v/>
      </c>
    </row>
    <row r="208" spans="3:5" x14ac:dyDescent="0.25">
      <c r="C208" s="19" t="str">
        <v>FPOPQ.IUSA_MPOT</v>
      </c>
      <c r="E208" t="str">
        <v/>
      </c>
    </row>
    <row r="209" spans="3:5" x14ac:dyDescent="0.25">
      <c r="C209" s="19" t="str">
        <v>FYHHMEDQ.IUSA_MPOT</v>
      </c>
      <c r="E209" t="str">
        <v/>
      </c>
    </row>
    <row r="210" spans="3:5" x14ac:dyDescent="0.25">
      <c r="C210" s="19" t="str">
        <v>FET.IUSA_MPOT</v>
      </c>
      <c r="E210" t="str">
        <v/>
      </c>
    </row>
    <row r="211" spans="3:5" x14ac:dyDescent="0.25">
      <c r="C211" s="19" t="str">
        <v>FCPIU.IUSA_MPOT</v>
      </c>
      <c r="E211" t="str">
        <v/>
      </c>
    </row>
    <row r="212" spans="3:5" x14ac:dyDescent="0.25">
      <c r="C212" s="19" t="str">
        <v>FGDP$Q.IUSA_MPOT</v>
      </c>
      <c r="E212" t="str">
        <v/>
      </c>
    </row>
    <row r="213" spans="3:5" x14ac:dyDescent="0.25">
      <c r="C213" s="19" t="str">
        <v>FHPNR.IUSA_MPOT</v>
      </c>
      <c r="E213" t="str">
        <v/>
      </c>
    </row>
    <row r="214" spans="3:5" x14ac:dyDescent="0.25">
      <c r="C214" s="19" t="str">
        <v>FHPNM.IUSA_MPOT</v>
      </c>
      <c r="E214" t="str">
        <v/>
      </c>
    </row>
    <row r="215" spans="3:5" x14ac:dyDescent="0.25">
      <c r="C215" s="19" t="str">
        <v>FHX1.IUSA_MPOT</v>
      </c>
      <c r="E215" t="str">
        <v/>
      </c>
    </row>
    <row r="216" spans="3:5" x14ac:dyDescent="0.25">
      <c r="C216" s="19" t="str">
        <v>FHX1MED.IUSA_MPOT</v>
      </c>
      <c r="E216" t="str">
        <v/>
      </c>
    </row>
    <row r="217" spans="3:5" x14ac:dyDescent="0.25">
      <c r="C217" s="19" t="str">
        <v/>
      </c>
      <c r="E217" t="str">
        <v/>
      </c>
    </row>
    <row r="218" spans="3:5" x14ac:dyDescent="0.25">
      <c r="C218" s="19" t="str">
        <v/>
      </c>
      <c r="E218" t="str">
        <v/>
      </c>
    </row>
    <row r="219" spans="3:5" x14ac:dyDescent="0.25">
      <c r="C219" s="19" t="str">
        <v/>
      </c>
      <c r="E219" t="str">
        <v/>
      </c>
    </row>
    <row r="220" spans="3:5" x14ac:dyDescent="0.25">
      <c r="C220" s="19" t="str">
        <v/>
      </c>
      <c r="E220" t="str">
        <v/>
      </c>
    </row>
    <row r="221" spans="3:5" x14ac:dyDescent="0.25">
      <c r="C221" s="19" t="str">
        <v/>
      </c>
      <c r="E221" t="str">
        <v/>
      </c>
    </row>
    <row r="222" spans="3:5" x14ac:dyDescent="0.25">
      <c r="C222" s="19" t="str">
        <v/>
      </c>
      <c r="E222" t="str">
        <v/>
      </c>
    </row>
    <row r="223" spans="3:5" x14ac:dyDescent="0.25">
      <c r="C223" s="19" t="str">
        <v/>
      </c>
      <c r="E223" t="str">
        <v/>
      </c>
    </row>
    <row r="224" spans="3:5" x14ac:dyDescent="0.25">
      <c r="C224" s="19" t="str">
        <v/>
      </c>
      <c r="E224" t="str">
        <v/>
      </c>
    </row>
    <row r="225" spans="3:5" x14ac:dyDescent="0.25">
      <c r="C225" s="19" t="str">
        <v/>
      </c>
      <c r="E225" t="str">
        <v/>
      </c>
    </row>
    <row r="226" spans="3:5" x14ac:dyDescent="0.25">
      <c r="C226" s="19" t="str">
        <v/>
      </c>
      <c r="E226" t="str">
        <v/>
      </c>
    </row>
    <row r="227" spans="3:5" x14ac:dyDescent="0.25">
      <c r="C227" s="19" t="str">
        <v/>
      </c>
      <c r="E227" t="str">
        <v/>
      </c>
    </row>
    <row r="228" spans="3:5" x14ac:dyDescent="0.25">
      <c r="C228" s="19" t="str">
        <v/>
      </c>
      <c r="E228" t="str">
        <v/>
      </c>
    </row>
    <row r="229" spans="3:5" x14ac:dyDescent="0.25">
      <c r="C229" s="19" t="str">
        <v/>
      </c>
      <c r="E229" t="str">
        <v/>
      </c>
    </row>
    <row r="230" spans="3:5" x14ac:dyDescent="0.25">
      <c r="C230" s="19" t="str">
        <v/>
      </c>
      <c r="E230" t="str">
        <v/>
      </c>
    </row>
    <row r="231" spans="3:5" x14ac:dyDescent="0.25">
      <c r="C231" s="19" t="str">
        <v/>
      </c>
      <c r="E231" t="str">
        <v/>
      </c>
    </row>
    <row r="232" spans="3:5" x14ac:dyDescent="0.25">
      <c r="C232" s="19" t="str">
        <v/>
      </c>
      <c r="E232" t="str">
        <v/>
      </c>
    </row>
    <row r="233" spans="3:5" x14ac:dyDescent="0.25">
      <c r="C233" s="19" t="str">
        <v/>
      </c>
      <c r="E233" t="str">
        <v/>
      </c>
    </row>
    <row r="234" spans="3:5" x14ac:dyDescent="0.25">
      <c r="C234" s="19" t="str">
        <v/>
      </c>
      <c r="E234" t="str">
        <v/>
      </c>
    </row>
    <row r="235" spans="3:5" x14ac:dyDescent="0.25">
      <c r="C235" s="19" t="str">
        <v/>
      </c>
      <c r="E235" t="str">
        <v/>
      </c>
    </row>
    <row r="236" spans="3:5" x14ac:dyDescent="0.25">
      <c r="C236" s="19" t="str">
        <v/>
      </c>
      <c r="E236" t="str">
        <v/>
      </c>
    </row>
    <row r="237" spans="3:5" x14ac:dyDescent="0.25">
      <c r="C237" s="19" t="str">
        <v/>
      </c>
      <c r="E237" t="str">
        <v/>
      </c>
    </row>
    <row r="238" spans="3:5" x14ac:dyDescent="0.25">
      <c r="C238" s="19" t="str">
        <v/>
      </c>
      <c r="E238" t="str">
        <v/>
      </c>
    </row>
    <row r="239" spans="3:5" x14ac:dyDescent="0.25">
      <c r="C239" s="19" t="str">
        <v/>
      </c>
      <c r="E239" t="str">
        <v/>
      </c>
    </row>
    <row r="240" spans="3:5" x14ac:dyDescent="0.25">
      <c r="C240" s="19" t="str">
        <v/>
      </c>
      <c r="E240" t="str">
        <v/>
      </c>
    </row>
    <row r="241" spans="3:5" x14ac:dyDescent="0.25">
      <c r="C241" s="19" t="str">
        <v/>
      </c>
      <c r="E241" t="str">
        <v/>
      </c>
    </row>
    <row r="242" spans="3:5" x14ac:dyDescent="0.25">
      <c r="C242" s="19" t="str">
        <v/>
      </c>
      <c r="E242" t="str">
        <v/>
      </c>
    </row>
    <row r="243" spans="3:5" x14ac:dyDescent="0.25">
      <c r="C243" s="19" t="str">
        <v/>
      </c>
      <c r="E243" t="str">
        <v/>
      </c>
    </row>
    <row r="244" spans="3:5" x14ac:dyDescent="0.25">
      <c r="C244" s="19" t="str">
        <v/>
      </c>
      <c r="E244" t="str">
        <v/>
      </c>
    </row>
    <row r="245" spans="3:5" x14ac:dyDescent="0.25">
      <c r="C245" s="19" t="str">
        <v/>
      </c>
      <c r="E245" t="str">
        <v/>
      </c>
    </row>
    <row r="246" spans="3:5" x14ac:dyDescent="0.25">
      <c r="C246" s="19" t="str">
        <v/>
      </c>
      <c r="E246" t="str">
        <v/>
      </c>
    </row>
    <row r="247" spans="3:5" x14ac:dyDescent="0.25">
      <c r="C247" s="19" t="str">
        <v/>
      </c>
      <c r="E247" t="str">
        <v/>
      </c>
    </row>
    <row r="248" spans="3:5" x14ac:dyDescent="0.25">
      <c r="C248" s="19" t="str">
        <v/>
      </c>
      <c r="E248" t="str">
        <v/>
      </c>
    </row>
    <row r="249" spans="3:5" x14ac:dyDescent="0.25">
      <c r="C249" s="19" t="str">
        <v/>
      </c>
      <c r="E249" t="str">
        <v/>
      </c>
    </row>
    <row r="250" spans="3:5" x14ac:dyDescent="0.25">
      <c r="C250" s="19" t="str">
        <v/>
      </c>
      <c r="E250" t="str">
        <v/>
      </c>
    </row>
    <row r="251" spans="3:5" x14ac:dyDescent="0.25">
      <c r="C251" s="19" t="str">
        <v/>
      </c>
      <c r="E251" t="str">
        <v/>
      </c>
    </row>
    <row r="252" spans="3:5" x14ac:dyDescent="0.25">
      <c r="C252" s="19" t="str">
        <v/>
      </c>
      <c r="E252" t="str">
        <v/>
      </c>
    </row>
    <row r="253" spans="3:5" x14ac:dyDescent="0.25">
      <c r="C253" s="19" t="str">
        <v/>
      </c>
      <c r="E253" t="str">
        <v/>
      </c>
    </row>
    <row r="254" spans="3:5" x14ac:dyDescent="0.25">
      <c r="C254" s="19" t="str">
        <v>FHHOLDQ.IUSA_MSAJ</v>
      </c>
      <c r="E254" t="str">
        <v/>
      </c>
    </row>
    <row r="255" spans="3:5" x14ac:dyDescent="0.25">
      <c r="C255" s="19" t="str">
        <v>FPOP2024Q.IUSA_MSAJ</v>
      </c>
      <c r="E255" t="str">
        <v/>
      </c>
    </row>
    <row r="256" spans="3:5" x14ac:dyDescent="0.25">
      <c r="C256" s="19" t="str">
        <v>FPOP2529Q.IUSA_MSAJ</v>
      </c>
      <c r="E256" t="str">
        <v/>
      </c>
    </row>
    <row r="257" spans="3:5" x14ac:dyDescent="0.25">
      <c r="C257" s="19" t="str">
        <v>FPOP3034Q.IUSA_MSAJ</v>
      </c>
      <c r="E257" t="str">
        <v/>
      </c>
    </row>
    <row r="258" spans="3:5" x14ac:dyDescent="0.25">
      <c r="C258" s="19" t="str">
        <v>FPOPQ.IUSA_MSAJ</v>
      </c>
      <c r="E258" t="str">
        <v/>
      </c>
    </row>
    <row r="259" spans="3:5" x14ac:dyDescent="0.25">
      <c r="C259" s="19" t="str">
        <v>FYHHMEDQ.IUSA_MSAJ</v>
      </c>
      <c r="E259" t="str">
        <v/>
      </c>
    </row>
    <row r="260" spans="3:5" x14ac:dyDescent="0.25">
      <c r="C260" s="19" t="str">
        <v>FET.IUSA_MSAJ</v>
      </c>
      <c r="E260" t="str">
        <v/>
      </c>
    </row>
    <row r="261" spans="3:5" x14ac:dyDescent="0.25">
      <c r="C261" s="19" t="str">
        <v>FCPIU.IUSA_MSAJ</v>
      </c>
      <c r="E261" t="str">
        <v/>
      </c>
    </row>
    <row r="262" spans="3:5" x14ac:dyDescent="0.25">
      <c r="C262" s="19" t="str">
        <v>FGDP$Q.IUSA_MSAJ</v>
      </c>
      <c r="E262" t="str">
        <v/>
      </c>
    </row>
    <row r="263" spans="3:5" x14ac:dyDescent="0.25">
      <c r="C263" s="19" t="str">
        <v>FHPNR.IUSA_MSAJ</v>
      </c>
      <c r="E263" t="str">
        <v/>
      </c>
    </row>
    <row r="264" spans="3:5" x14ac:dyDescent="0.25">
      <c r="C264" s="19" t="str">
        <v>FHPNM.IUSA_MSAJ</v>
      </c>
      <c r="E264" t="str">
        <v/>
      </c>
    </row>
    <row r="265" spans="3:5" x14ac:dyDescent="0.25">
      <c r="C265" s="19" t="str">
        <v>FHX1.IUSA_MSAJ</v>
      </c>
      <c r="E265" t="str">
        <v/>
      </c>
    </row>
    <row r="266" spans="3:5" x14ac:dyDescent="0.25">
      <c r="C266" s="19" t="str">
        <v>FHX1MED.IUSA_MSAJ</v>
      </c>
      <c r="E266" t="str">
        <v/>
      </c>
    </row>
    <row r="267" spans="3:5" x14ac:dyDescent="0.25">
      <c r="C267" s="19" t="str">
        <v/>
      </c>
      <c r="E267" t="str">
        <v/>
      </c>
    </row>
    <row r="268" spans="3:5" x14ac:dyDescent="0.25">
      <c r="C268" s="19" t="str">
        <v/>
      </c>
      <c r="E268" t="str">
        <v/>
      </c>
    </row>
    <row r="269" spans="3:5" x14ac:dyDescent="0.25">
      <c r="C269" s="19" t="str">
        <v/>
      </c>
      <c r="E269" t="str">
        <v/>
      </c>
    </row>
    <row r="270" spans="3:5" x14ac:dyDescent="0.25">
      <c r="C270" s="19" t="str">
        <v/>
      </c>
      <c r="E270" t="str">
        <v/>
      </c>
    </row>
    <row r="271" spans="3:5" x14ac:dyDescent="0.25">
      <c r="C271" s="19" t="str">
        <v/>
      </c>
      <c r="E271" t="str">
        <v/>
      </c>
    </row>
    <row r="272" spans="3:5" x14ac:dyDescent="0.25">
      <c r="C272" s="19" t="str">
        <v/>
      </c>
      <c r="E272" t="str">
        <v/>
      </c>
    </row>
    <row r="273" spans="3:5" x14ac:dyDescent="0.25">
      <c r="C273" s="19" t="str">
        <v/>
      </c>
      <c r="E273" t="str">
        <v/>
      </c>
    </row>
    <row r="274" spans="3:5" x14ac:dyDescent="0.25">
      <c r="C274" s="19" t="str">
        <v/>
      </c>
      <c r="E274" t="str">
        <v/>
      </c>
    </row>
    <row r="275" spans="3:5" x14ac:dyDescent="0.25">
      <c r="C275" s="19" t="str">
        <v/>
      </c>
      <c r="E275" t="str">
        <v/>
      </c>
    </row>
    <row r="276" spans="3:5" x14ac:dyDescent="0.25">
      <c r="C276" s="19" t="str">
        <v/>
      </c>
      <c r="E276" t="str">
        <v/>
      </c>
    </row>
    <row r="277" spans="3:5" x14ac:dyDescent="0.25">
      <c r="C277" s="19" t="str">
        <v/>
      </c>
      <c r="E277" t="str">
        <v/>
      </c>
    </row>
    <row r="278" spans="3:5" x14ac:dyDescent="0.25">
      <c r="C278" s="19" t="str">
        <v/>
      </c>
      <c r="E278" t="str">
        <v/>
      </c>
    </row>
    <row r="279" spans="3:5" x14ac:dyDescent="0.25">
      <c r="C279" s="19" t="str">
        <v/>
      </c>
      <c r="E279" t="str">
        <v/>
      </c>
    </row>
    <row r="280" spans="3:5" x14ac:dyDescent="0.25">
      <c r="C280" s="19" t="str">
        <v/>
      </c>
      <c r="E280" t="str">
        <v/>
      </c>
    </row>
    <row r="281" spans="3:5" x14ac:dyDescent="0.25">
      <c r="C281" s="19" t="str">
        <v/>
      </c>
      <c r="E281" t="str">
        <v/>
      </c>
    </row>
    <row r="282" spans="3:5" x14ac:dyDescent="0.25">
      <c r="C282" s="19" t="str">
        <v/>
      </c>
      <c r="E282" t="str">
        <v/>
      </c>
    </row>
    <row r="283" spans="3:5" x14ac:dyDescent="0.25">
      <c r="C283" s="19" t="str">
        <v/>
      </c>
      <c r="E283" t="str">
        <v/>
      </c>
    </row>
    <row r="284" spans="3:5" x14ac:dyDescent="0.25">
      <c r="C284" s="19" t="str">
        <v/>
      </c>
      <c r="E284" t="str">
        <v/>
      </c>
    </row>
    <row r="285" spans="3:5" x14ac:dyDescent="0.25">
      <c r="C285" s="19" t="str">
        <v/>
      </c>
      <c r="E285" t="str">
        <v/>
      </c>
    </row>
    <row r="286" spans="3:5" x14ac:dyDescent="0.25">
      <c r="C286" s="19" t="str">
        <v/>
      </c>
      <c r="E286" t="str">
        <v/>
      </c>
    </row>
    <row r="287" spans="3:5" x14ac:dyDescent="0.25">
      <c r="C287" s="19" t="str">
        <v/>
      </c>
      <c r="E287" t="str">
        <v/>
      </c>
    </row>
    <row r="288" spans="3:5" x14ac:dyDescent="0.25">
      <c r="C288" s="19" t="str">
        <v/>
      </c>
      <c r="E288" t="str">
        <v/>
      </c>
    </row>
    <row r="289" spans="3:5" x14ac:dyDescent="0.25">
      <c r="C289" s="19" t="str">
        <v/>
      </c>
      <c r="E289" t="str">
        <v/>
      </c>
    </row>
    <row r="290" spans="3:5" x14ac:dyDescent="0.25">
      <c r="C290" s="19" t="str">
        <v/>
      </c>
      <c r="E290" t="str">
        <v/>
      </c>
    </row>
    <row r="291" spans="3:5" x14ac:dyDescent="0.25">
      <c r="C291" s="19" t="str">
        <v/>
      </c>
      <c r="E291" t="str">
        <v/>
      </c>
    </row>
    <row r="292" spans="3:5" x14ac:dyDescent="0.25">
      <c r="C292" s="19" t="str">
        <v/>
      </c>
      <c r="E292" t="str">
        <v/>
      </c>
    </row>
    <row r="293" spans="3:5" x14ac:dyDescent="0.25">
      <c r="C293" s="19" t="str">
        <v/>
      </c>
      <c r="E293" t="str">
        <v/>
      </c>
    </row>
    <row r="294" spans="3:5" x14ac:dyDescent="0.25">
      <c r="C294" s="19" t="str">
        <v/>
      </c>
      <c r="E294" t="str">
        <v/>
      </c>
    </row>
    <row r="295" spans="3:5" x14ac:dyDescent="0.25">
      <c r="C295" s="19" t="str">
        <v/>
      </c>
      <c r="E295" t="str">
        <v/>
      </c>
    </row>
    <row r="296" spans="3:5" x14ac:dyDescent="0.25">
      <c r="C296" s="19" t="str">
        <v/>
      </c>
      <c r="E296" t="str">
        <v/>
      </c>
    </row>
    <row r="297" spans="3:5" x14ac:dyDescent="0.25">
      <c r="C297" s="19" t="str">
        <v/>
      </c>
      <c r="E297" t="str">
        <v/>
      </c>
    </row>
    <row r="298" spans="3:5" x14ac:dyDescent="0.25">
      <c r="C298" s="19" t="str">
        <v/>
      </c>
      <c r="E298" t="str">
        <v/>
      </c>
    </row>
    <row r="299" spans="3:5" x14ac:dyDescent="0.25">
      <c r="C299" s="19" t="str">
        <v/>
      </c>
      <c r="E299" t="str">
        <v/>
      </c>
    </row>
    <row r="300" spans="3:5" x14ac:dyDescent="0.25">
      <c r="C300" s="19" t="str">
        <v/>
      </c>
      <c r="E300" t="str">
        <v/>
      </c>
    </row>
    <row r="301" spans="3:5" x14ac:dyDescent="0.25">
      <c r="C301" s="19" t="str">
        <v/>
      </c>
      <c r="E301" t="str">
        <v/>
      </c>
    </row>
    <row r="302" spans="3:5" x14ac:dyDescent="0.25">
      <c r="C302" s="19" t="str">
        <v/>
      </c>
      <c r="E302" t="str">
        <v/>
      </c>
    </row>
    <row r="303" spans="3:5" x14ac:dyDescent="0.25">
      <c r="C303" s="19" t="str">
        <v/>
      </c>
      <c r="E303" t="str">
        <v/>
      </c>
    </row>
    <row r="304" spans="3:5" x14ac:dyDescent="0.25">
      <c r="C304" s="19" t="str">
        <v>FHHOLDQ.IUSA_MSAN</v>
      </c>
      <c r="E304" t="str">
        <v/>
      </c>
    </row>
    <row r="305" spans="3:5" x14ac:dyDescent="0.25">
      <c r="C305" s="19" t="str">
        <v>FPOP2024Q.IUSA_MSAN</v>
      </c>
      <c r="E305" t="str">
        <v/>
      </c>
    </row>
    <row r="306" spans="3:5" x14ac:dyDescent="0.25">
      <c r="C306" s="19" t="str">
        <v>FPOP2529Q.IUSA_MSAN</v>
      </c>
      <c r="E306" t="str">
        <v/>
      </c>
    </row>
    <row r="307" spans="3:5" x14ac:dyDescent="0.25">
      <c r="C307" s="19" t="str">
        <v>FPOP3034Q.IUSA_MSAN</v>
      </c>
      <c r="E307" t="str">
        <v/>
      </c>
    </row>
    <row r="308" spans="3:5" x14ac:dyDescent="0.25">
      <c r="C308" s="19" t="str">
        <v>FPOPQ.IUSA_MSAN</v>
      </c>
      <c r="E308" t="str">
        <v/>
      </c>
    </row>
    <row r="309" spans="3:5" x14ac:dyDescent="0.25">
      <c r="C309" s="19" t="str">
        <v>FYHHMEDQ.IUSA_MSAN</v>
      </c>
      <c r="E309" t="str">
        <v/>
      </c>
    </row>
    <row r="310" spans="3:5" x14ac:dyDescent="0.25">
      <c r="C310" s="19" t="str">
        <v>FET.IUSA_MSAN</v>
      </c>
      <c r="E310" t="str">
        <v/>
      </c>
    </row>
    <row r="311" spans="3:5" x14ac:dyDescent="0.25">
      <c r="C311" s="19" t="str">
        <v>FCPIU.IUSA_MSAN</v>
      </c>
      <c r="E311" t="str">
        <v/>
      </c>
    </row>
    <row r="312" spans="3:5" x14ac:dyDescent="0.25">
      <c r="C312" s="19" t="str">
        <v>FGDP$Q.IUSA_MSAN</v>
      </c>
      <c r="E312" t="str">
        <v/>
      </c>
    </row>
    <row r="313" spans="3:5" x14ac:dyDescent="0.25">
      <c r="C313" s="19" t="str">
        <v>FHPNR.IUSA_MSAN</v>
      </c>
      <c r="E313" t="str">
        <v/>
      </c>
    </row>
    <row r="314" spans="3:5" x14ac:dyDescent="0.25">
      <c r="C314" s="19" t="str">
        <v>FHPNM.IUSA_MSAN</v>
      </c>
      <c r="E314" t="str">
        <v/>
      </c>
    </row>
    <row r="315" spans="3:5" x14ac:dyDescent="0.25">
      <c r="C315" s="19" t="str">
        <v>FHX1.IUSA_MSAN</v>
      </c>
      <c r="E315" t="str">
        <v/>
      </c>
    </row>
    <row r="316" spans="3:5" x14ac:dyDescent="0.25">
      <c r="C316" s="19" t="str">
        <v>FHX1MED.IUSA_MSAN</v>
      </c>
      <c r="E316" t="str">
        <v/>
      </c>
    </row>
    <row r="317" spans="3:5" x14ac:dyDescent="0.25">
      <c r="C317" s="19" t="str">
        <v/>
      </c>
      <c r="E317" t="str">
        <v/>
      </c>
    </row>
    <row r="318" spans="3:5" x14ac:dyDescent="0.25">
      <c r="C318" s="19" t="str">
        <v/>
      </c>
      <c r="E318" t="str">
        <v/>
      </c>
    </row>
    <row r="319" spans="3:5" x14ac:dyDescent="0.25">
      <c r="C319" s="19" t="str">
        <v/>
      </c>
      <c r="E319" t="str">
        <v/>
      </c>
    </row>
    <row r="320" spans="3:5" x14ac:dyDescent="0.25">
      <c r="C320" s="19" t="str">
        <v/>
      </c>
      <c r="E320" t="str">
        <v/>
      </c>
    </row>
    <row r="321" spans="3:5" x14ac:dyDescent="0.25">
      <c r="C321" s="19" t="str">
        <v/>
      </c>
      <c r="E321" t="str">
        <v/>
      </c>
    </row>
    <row r="322" spans="3:5" x14ac:dyDescent="0.25">
      <c r="C322" s="19" t="str">
        <v/>
      </c>
      <c r="E322" t="str">
        <v/>
      </c>
    </row>
    <row r="323" spans="3:5" x14ac:dyDescent="0.25">
      <c r="C323" s="19" t="str">
        <v/>
      </c>
      <c r="E323" t="str">
        <v/>
      </c>
    </row>
    <row r="324" spans="3:5" x14ac:dyDescent="0.25">
      <c r="C324" s="19" t="str">
        <v/>
      </c>
      <c r="E324" t="str">
        <v/>
      </c>
    </row>
    <row r="325" spans="3:5" x14ac:dyDescent="0.25">
      <c r="C325" s="19" t="str">
        <v/>
      </c>
      <c r="E325" t="str">
        <v/>
      </c>
    </row>
    <row r="326" spans="3:5" x14ac:dyDescent="0.25">
      <c r="C326" s="19" t="str">
        <v/>
      </c>
      <c r="E326" t="str">
        <v/>
      </c>
    </row>
    <row r="327" spans="3:5" x14ac:dyDescent="0.25">
      <c r="C327" s="19" t="str">
        <v/>
      </c>
      <c r="E327" t="str">
        <v/>
      </c>
    </row>
    <row r="328" spans="3:5" x14ac:dyDescent="0.25">
      <c r="C328" s="19" t="str">
        <v/>
      </c>
      <c r="E328" t="str">
        <v/>
      </c>
    </row>
    <row r="329" spans="3:5" x14ac:dyDescent="0.25">
      <c r="C329" s="19" t="str">
        <v/>
      </c>
      <c r="E329" t="str">
        <v/>
      </c>
    </row>
    <row r="330" spans="3:5" x14ac:dyDescent="0.25">
      <c r="C330" s="19" t="str">
        <v/>
      </c>
      <c r="E330" t="str">
        <v/>
      </c>
    </row>
    <row r="331" spans="3:5" x14ac:dyDescent="0.25">
      <c r="C331" s="19" t="str">
        <v/>
      </c>
      <c r="E331" t="str">
        <v/>
      </c>
    </row>
    <row r="332" spans="3:5" x14ac:dyDescent="0.25">
      <c r="C332" s="19" t="str">
        <v/>
      </c>
      <c r="E332" t="str">
        <v/>
      </c>
    </row>
    <row r="333" spans="3:5" x14ac:dyDescent="0.25">
      <c r="C333" s="19" t="str">
        <v/>
      </c>
      <c r="E333" t="str">
        <v/>
      </c>
    </row>
    <row r="334" spans="3:5" x14ac:dyDescent="0.25">
      <c r="C334" s="19" t="str">
        <v/>
      </c>
      <c r="E334" t="str">
        <v/>
      </c>
    </row>
    <row r="335" spans="3:5" x14ac:dyDescent="0.25">
      <c r="C335" s="19" t="str">
        <v/>
      </c>
      <c r="E335" t="str">
        <v/>
      </c>
    </row>
    <row r="336" spans="3:5" x14ac:dyDescent="0.25">
      <c r="C336" s="19" t="str">
        <v/>
      </c>
      <c r="E336" t="str">
        <v/>
      </c>
    </row>
    <row r="337" spans="3:5" x14ac:dyDescent="0.25">
      <c r="C337" s="19" t="str">
        <v/>
      </c>
      <c r="E337" t="str">
        <v/>
      </c>
    </row>
    <row r="338" spans="3:5" x14ac:dyDescent="0.25">
      <c r="C338" s="19" t="str">
        <v/>
      </c>
      <c r="E338" t="str">
        <v/>
      </c>
    </row>
    <row r="339" spans="3:5" x14ac:dyDescent="0.25">
      <c r="C339" s="19" t="str">
        <v/>
      </c>
      <c r="E339" t="str">
        <v/>
      </c>
    </row>
    <row r="340" spans="3:5" x14ac:dyDescent="0.25">
      <c r="C340" s="19" t="str">
        <v/>
      </c>
      <c r="E340" t="str">
        <v/>
      </c>
    </row>
    <row r="341" spans="3:5" x14ac:dyDescent="0.25">
      <c r="C341" s="19" t="str">
        <v/>
      </c>
      <c r="E341" t="str">
        <v/>
      </c>
    </row>
    <row r="342" spans="3:5" x14ac:dyDescent="0.25">
      <c r="C342" s="19" t="str">
        <v/>
      </c>
      <c r="E342" t="str">
        <v/>
      </c>
    </row>
    <row r="343" spans="3:5" x14ac:dyDescent="0.25">
      <c r="C343" s="19" t="str">
        <v/>
      </c>
      <c r="E343" t="str">
        <v/>
      </c>
    </row>
    <row r="344" spans="3:5" x14ac:dyDescent="0.25">
      <c r="C344" s="19" t="str">
        <v/>
      </c>
      <c r="E344" t="str">
        <v/>
      </c>
    </row>
    <row r="345" spans="3:5" x14ac:dyDescent="0.25">
      <c r="C345" s="19" t="str">
        <v/>
      </c>
      <c r="E345" t="str">
        <v/>
      </c>
    </row>
    <row r="346" spans="3:5" x14ac:dyDescent="0.25">
      <c r="C346" s="19" t="str">
        <v/>
      </c>
      <c r="E346" t="str">
        <v/>
      </c>
    </row>
    <row r="347" spans="3:5" x14ac:dyDescent="0.25">
      <c r="C347" s="19" t="str">
        <v/>
      </c>
      <c r="E347" t="str">
        <v/>
      </c>
    </row>
    <row r="348" spans="3:5" x14ac:dyDescent="0.25">
      <c r="C348" s="19" t="str">
        <v/>
      </c>
      <c r="E348" t="str">
        <v/>
      </c>
    </row>
    <row r="349" spans="3:5" x14ac:dyDescent="0.25">
      <c r="C349" s="19" t="str">
        <v/>
      </c>
      <c r="E349" t="str">
        <v/>
      </c>
    </row>
    <row r="350" spans="3:5" x14ac:dyDescent="0.25">
      <c r="C350" s="19" t="str">
        <v/>
      </c>
      <c r="E350" t="str">
        <v/>
      </c>
    </row>
    <row r="351" spans="3:5" x14ac:dyDescent="0.25">
      <c r="C351" s="19" t="str">
        <v/>
      </c>
      <c r="E351" t="str">
        <v/>
      </c>
    </row>
    <row r="352" spans="3:5" x14ac:dyDescent="0.25">
      <c r="C352" s="19" t="str">
        <v/>
      </c>
      <c r="E352" t="str">
        <v/>
      </c>
    </row>
    <row r="353" spans="3:5" x14ac:dyDescent="0.25">
      <c r="C353" s="19" t="str">
        <v/>
      </c>
      <c r="E353" t="str">
        <v/>
      </c>
    </row>
    <row r="354" spans="3:5" x14ac:dyDescent="0.25">
      <c r="C354" s="19" t="str">
        <v>FHHOLDQ.IUSA_MOXN</v>
      </c>
      <c r="E354" t="str">
        <v/>
      </c>
    </row>
    <row r="355" spans="3:5" x14ac:dyDescent="0.25">
      <c r="C355" s="19" t="str">
        <v>FPOP2024Q.IUSA_MOXN</v>
      </c>
      <c r="E355" t="str">
        <v/>
      </c>
    </row>
    <row r="356" spans="3:5" x14ac:dyDescent="0.25">
      <c r="C356" s="19" t="str">
        <v>FPOP2529Q.IUSA_MOXN</v>
      </c>
      <c r="E356" t="str">
        <v/>
      </c>
    </row>
    <row r="357" spans="3:5" x14ac:dyDescent="0.25">
      <c r="C357" s="19" t="str">
        <v>FPOP3034Q.IUSA_MOXN</v>
      </c>
      <c r="E357" t="str">
        <v/>
      </c>
    </row>
    <row r="358" spans="3:5" x14ac:dyDescent="0.25">
      <c r="C358" s="19" t="str">
        <v>FPOPQ.IUSA_MOXN</v>
      </c>
      <c r="E358" t="str">
        <v/>
      </c>
    </row>
    <row r="359" spans="3:5" x14ac:dyDescent="0.25">
      <c r="C359" s="19" t="str">
        <v>FYHHMEDQ.IUSA_MOXN</v>
      </c>
      <c r="E359" t="str">
        <v/>
      </c>
    </row>
    <row r="360" spans="3:5" x14ac:dyDescent="0.25">
      <c r="C360" s="19" t="str">
        <v>FET.IUSA_MOXN</v>
      </c>
      <c r="E360" t="str">
        <v/>
      </c>
    </row>
    <row r="361" spans="3:5" x14ac:dyDescent="0.25">
      <c r="C361" s="19" t="str">
        <v>FCPIU.IUSA_MOXN</v>
      </c>
      <c r="E361" t="str">
        <v/>
      </c>
    </row>
    <row r="362" spans="3:5" x14ac:dyDescent="0.25">
      <c r="C362" s="19" t="str">
        <v>FGDP$Q.IUSA_MOXN</v>
      </c>
      <c r="E362" t="str">
        <v/>
      </c>
    </row>
    <row r="363" spans="3:5" x14ac:dyDescent="0.25">
      <c r="C363" s="19" t="str">
        <v>FHPNR.IUSA_MOXN</v>
      </c>
      <c r="E363" t="str">
        <v/>
      </c>
    </row>
    <row r="364" spans="3:5" x14ac:dyDescent="0.25">
      <c r="C364" s="19" t="str">
        <v>FHPNM.IUSA_MOXN</v>
      </c>
      <c r="E364" t="str">
        <v/>
      </c>
    </row>
    <row r="365" spans="3:5" x14ac:dyDescent="0.25">
      <c r="C365" s="19" t="str">
        <v>FHX1.IUSA_MOXN</v>
      </c>
      <c r="E365" t="str">
        <v/>
      </c>
    </row>
    <row r="366" spans="3:5" x14ac:dyDescent="0.25">
      <c r="C366" s="19" t="str">
        <v>FHX1MED.IUSA_MOXN</v>
      </c>
      <c r="E366" t="str">
        <v/>
      </c>
    </row>
    <row r="367" spans="3:5" x14ac:dyDescent="0.25">
      <c r="C367" s="19" t="str">
        <v/>
      </c>
      <c r="E367" t="str">
        <v/>
      </c>
    </row>
    <row r="368" spans="3:5" x14ac:dyDescent="0.25">
      <c r="C368" s="19" t="str">
        <v/>
      </c>
      <c r="E368" t="str">
        <v/>
      </c>
    </row>
    <row r="369" spans="3:5" x14ac:dyDescent="0.25">
      <c r="C369" s="19" t="str">
        <v/>
      </c>
      <c r="E369" t="str">
        <v/>
      </c>
    </row>
    <row r="370" spans="3:5" x14ac:dyDescent="0.25">
      <c r="C370" s="19" t="str">
        <v/>
      </c>
      <c r="E370" t="str">
        <v/>
      </c>
    </row>
    <row r="371" spans="3:5" x14ac:dyDescent="0.25">
      <c r="C371" s="19" t="str">
        <v/>
      </c>
      <c r="E371" t="str">
        <v/>
      </c>
    </row>
    <row r="372" spans="3:5" x14ac:dyDescent="0.25">
      <c r="C372" s="19" t="str">
        <v/>
      </c>
      <c r="E372" t="str">
        <v/>
      </c>
    </row>
    <row r="373" spans="3:5" x14ac:dyDescent="0.25">
      <c r="C373" s="19" t="str">
        <v/>
      </c>
      <c r="E373" t="str">
        <v/>
      </c>
    </row>
    <row r="374" spans="3:5" x14ac:dyDescent="0.25">
      <c r="C374" s="19" t="str">
        <v/>
      </c>
      <c r="E374" t="str">
        <v/>
      </c>
    </row>
    <row r="375" spans="3:5" x14ac:dyDescent="0.25">
      <c r="C375" s="19" t="str">
        <v/>
      </c>
      <c r="E375" t="str">
        <v/>
      </c>
    </row>
    <row r="376" spans="3:5" x14ac:dyDescent="0.25">
      <c r="C376" s="19" t="str">
        <v/>
      </c>
      <c r="E376" t="str">
        <v/>
      </c>
    </row>
    <row r="377" spans="3:5" x14ac:dyDescent="0.25">
      <c r="C377" s="19" t="str">
        <v/>
      </c>
      <c r="E377" t="str">
        <v/>
      </c>
    </row>
    <row r="378" spans="3:5" x14ac:dyDescent="0.25">
      <c r="C378" s="19" t="str">
        <v/>
      </c>
      <c r="E378" t="str">
        <v/>
      </c>
    </row>
    <row r="379" spans="3:5" x14ac:dyDescent="0.25">
      <c r="C379" s="19" t="str">
        <v/>
      </c>
      <c r="E379" t="str">
        <v/>
      </c>
    </row>
    <row r="380" spans="3:5" x14ac:dyDescent="0.25">
      <c r="C380" s="19" t="str">
        <v/>
      </c>
      <c r="E380" t="str">
        <v/>
      </c>
    </row>
    <row r="381" spans="3:5" x14ac:dyDescent="0.25">
      <c r="C381" s="19" t="str">
        <v/>
      </c>
      <c r="E381" t="str">
        <v/>
      </c>
    </row>
    <row r="382" spans="3:5" x14ac:dyDescent="0.25">
      <c r="C382" s="19" t="str">
        <v/>
      </c>
      <c r="E382" t="str">
        <v/>
      </c>
    </row>
    <row r="383" spans="3:5" x14ac:dyDescent="0.25">
      <c r="C383" s="19" t="str">
        <v/>
      </c>
      <c r="E383" t="str">
        <v/>
      </c>
    </row>
    <row r="384" spans="3:5" x14ac:dyDescent="0.25">
      <c r="C384" s="19" t="str">
        <v/>
      </c>
      <c r="E384" t="str">
        <v/>
      </c>
    </row>
    <row r="385" spans="3:5" x14ac:dyDescent="0.25">
      <c r="C385" s="19" t="str">
        <v/>
      </c>
      <c r="E385" t="str">
        <v/>
      </c>
    </row>
    <row r="386" spans="3:5" x14ac:dyDescent="0.25">
      <c r="C386" s="19" t="str">
        <v/>
      </c>
      <c r="E386" t="str">
        <v/>
      </c>
    </row>
    <row r="387" spans="3:5" x14ac:dyDescent="0.25">
      <c r="C387" s="19" t="str">
        <v/>
      </c>
      <c r="E387" t="str">
        <v/>
      </c>
    </row>
    <row r="388" spans="3:5" x14ac:dyDescent="0.25">
      <c r="C388" s="19" t="str">
        <v/>
      </c>
      <c r="E388" t="str">
        <v/>
      </c>
    </row>
    <row r="389" spans="3:5" x14ac:dyDescent="0.25">
      <c r="C389" s="19" t="str">
        <v/>
      </c>
      <c r="E389" t="str">
        <v/>
      </c>
    </row>
    <row r="390" spans="3:5" x14ac:dyDescent="0.25">
      <c r="C390" s="19" t="str">
        <v/>
      </c>
      <c r="E390" t="str">
        <v/>
      </c>
    </row>
    <row r="391" spans="3:5" x14ac:dyDescent="0.25">
      <c r="C391" s="19" t="str">
        <v/>
      </c>
      <c r="E391" t="str">
        <v/>
      </c>
    </row>
    <row r="392" spans="3:5" x14ac:dyDescent="0.25">
      <c r="C392" s="19" t="str">
        <v/>
      </c>
      <c r="E392" t="str">
        <v/>
      </c>
    </row>
    <row r="393" spans="3:5" x14ac:dyDescent="0.25">
      <c r="C393" s="19" t="str">
        <v/>
      </c>
      <c r="E393" t="str">
        <v/>
      </c>
    </row>
    <row r="394" spans="3:5" x14ac:dyDescent="0.25">
      <c r="C394" s="19" t="str">
        <v/>
      </c>
      <c r="E394" t="str">
        <v/>
      </c>
    </row>
    <row r="395" spans="3:5" x14ac:dyDescent="0.25">
      <c r="C395" s="19" t="str">
        <v/>
      </c>
      <c r="E395" t="str">
        <v/>
      </c>
    </row>
    <row r="396" spans="3:5" x14ac:dyDescent="0.25">
      <c r="C396" s="19" t="str">
        <v/>
      </c>
      <c r="E396" t="str">
        <v/>
      </c>
    </row>
    <row r="397" spans="3:5" x14ac:dyDescent="0.25">
      <c r="C397" s="19" t="str">
        <v/>
      </c>
      <c r="E397" t="str">
        <v/>
      </c>
    </row>
    <row r="398" spans="3:5" x14ac:dyDescent="0.25">
      <c r="C398" s="19" t="str">
        <v/>
      </c>
      <c r="E398" t="str">
        <v/>
      </c>
    </row>
    <row r="399" spans="3:5" x14ac:dyDescent="0.25">
      <c r="C399" s="19" t="str">
        <v/>
      </c>
      <c r="E399" t="str">
        <v/>
      </c>
    </row>
    <row r="400" spans="3:5" x14ac:dyDescent="0.25">
      <c r="C400" s="19" t="str">
        <v/>
      </c>
      <c r="E400" t="str">
        <v/>
      </c>
    </row>
    <row r="401" spans="3:5" x14ac:dyDescent="0.25">
      <c r="C401" s="19" t="str">
        <v/>
      </c>
      <c r="E401" t="str">
        <v/>
      </c>
    </row>
    <row r="402" spans="3:5" x14ac:dyDescent="0.25">
      <c r="C402" s="19" t="str">
        <v/>
      </c>
      <c r="E402" t="str">
        <v/>
      </c>
    </row>
    <row r="403" spans="3:5" x14ac:dyDescent="0.25">
      <c r="C403" s="19" t="str">
        <v/>
      </c>
      <c r="E403" t="str">
        <v/>
      </c>
    </row>
    <row r="404" spans="3:5" x14ac:dyDescent="0.25">
      <c r="C404" s="19" t="str">
        <v>FHHOLDQ.IUSA_MBSD</v>
      </c>
      <c r="E404" t="str">
        <v/>
      </c>
    </row>
    <row r="405" spans="3:5" x14ac:dyDescent="0.25">
      <c r="C405" s="19" t="str">
        <v>FPOP2024Q.IUSA_MBSD</v>
      </c>
      <c r="E405" t="str">
        <v/>
      </c>
    </row>
    <row r="406" spans="3:5" x14ac:dyDescent="0.25">
      <c r="C406" s="19" t="str">
        <v>FPOP2529Q.IUSA_MBSD</v>
      </c>
      <c r="E406" t="str">
        <v/>
      </c>
    </row>
    <row r="407" spans="3:5" x14ac:dyDescent="0.25">
      <c r="C407" s="19" t="str">
        <v>FPOP3034Q.IUSA_MBSD</v>
      </c>
      <c r="E407" t="str">
        <v/>
      </c>
    </row>
    <row r="408" spans="3:5" x14ac:dyDescent="0.25">
      <c r="C408" s="19" t="str">
        <v>FPOPQ.IUSA_MBSD</v>
      </c>
      <c r="E408" t="str">
        <v/>
      </c>
    </row>
    <row r="409" spans="3:5" x14ac:dyDescent="0.25">
      <c r="C409" s="19" t="str">
        <v>FYHHMEDQ.IUSA_MBSD</v>
      </c>
      <c r="E409" t="str">
        <v/>
      </c>
    </row>
    <row r="410" spans="3:5" x14ac:dyDescent="0.25">
      <c r="C410" s="19" t="str">
        <v>FET.IUSA_MBSD</v>
      </c>
      <c r="E410" t="str">
        <v/>
      </c>
    </row>
    <row r="411" spans="3:5" x14ac:dyDescent="0.25">
      <c r="C411" s="19" t="str">
        <v>FCPIU.IUSA_MBSD</v>
      </c>
      <c r="E411" t="str">
        <v/>
      </c>
    </row>
    <row r="412" spans="3:5" x14ac:dyDescent="0.25">
      <c r="C412" s="19" t="str">
        <v>FGDP$Q.IUSA_MBSD</v>
      </c>
      <c r="E412" t="str">
        <v/>
      </c>
    </row>
    <row r="413" spans="3:5" x14ac:dyDescent="0.25">
      <c r="C413" s="19" t="str">
        <v>FHPNR.IUSA_MBSD</v>
      </c>
      <c r="E413" t="str">
        <v/>
      </c>
    </row>
    <row r="414" spans="3:5" x14ac:dyDescent="0.25">
      <c r="C414" s="19" t="str">
        <v>FHPNM.IUSA_MBSD</v>
      </c>
      <c r="E414" t="str">
        <v/>
      </c>
    </row>
    <row r="415" spans="3:5" x14ac:dyDescent="0.25">
      <c r="C415" s="19" t="str">
        <v>FHX1.IUSA_MBSD</v>
      </c>
      <c r="E415" t="str">
        <v/>
      </c>
    </row>
    <row r="416" spans="3:5" x14ac:dyDescent="0.25">
      <c r="C416" s="19" t="str">
        <v>FHX1MED.IUSA_MBSD</v>
      </c>
      <c r="E416" t="str">
        <v/>
      </c>
    </row>
    <row r="417" spans="3:5" x14ac:dyDescent="0.25">
      <c r="C417" s="19" t="str">
        <v/>
      </c>
      <c r="E417" t="str">
        <v/>
      </c>
    </row>
    <row r="418" spans="3:5" x14ac:dyDescent="0.25">
      <c r="C418" s="19" t="str">
        <v/>
      </c>
      <c r="E418" t="str">
        <v/>
      </c>
    </row>
    <row r="419" spans="3:5" x14ac:dyDescent="0.25">
      <c r="C419" s="19" t="str">
        <v/>
      </c>
      <c r="E419" t="str">
        <v/>
      </c>
    </row>
    <row r="420" spans="3:5" x14ac:dyDescent="0.25">
      <c r="C420" s="19" t="str">
        <v/>
      </c>
      <c r="E420" t="str">
        <v/>
      </c>
    </row>
    <row r="421" spans="3:5" x14ac:dyDescent="0.25">
      <c r="C421" s="19" t="str">
        <v/>
      </c>
      <c r="E421" t="str">
        <v/>
      </c>
    </row>
    <row r="422" spans="3:5" x14ac:dyDescent="0.25">
      <c r="C422" s="19" t="str">
        <v/>
      </c>
      <c r="E422" t="str">
        <v/>
      </c>
    </row>
    <row r="423" spans="3:5" x14ac:dyDescent="0.25">
      <c r="C423" s="19" t="str">
        <v/>
      </c>
      <c r="E423" t="str">
        <v/>
      </c>
    </row>
    <row r="424" spans="3:5" x14ac:dyDescent="0.25">
      <c r="C424" s="19" t="str">
        <v/>
      </c>
      <c r="E424" t="str">
        <v/>
      </c>
    </row>
    <row r="425" spans="3:5" x14ac:dyDescent="0.25">
      <c r="C425" s="19" t="str">
        <v/>
      </c>
      <c r="E425" t="str">
        <v/>
      </c>
    </row>
    <row r="426" spans="3:5" x14ac:dyDescent="0.25">
      <c r="C426" s="19" t="str">
        <v/>
      </c>
      <c r="E426" t="str">
        <v/>
      </c>
    </row>
    <row r="427" spans="3:5" x14ac:dyDescent="0.25">
      <c r="C427" s="19" t="str">
        <v/>
      </c>
      <c r="E427" t="str">
        <v/>
      </c>
    </row>
    <row r="428" spans="3:5" x14ac:dyDescent="0.25">
      <c r="C428" s="19" t="str">
        <v/>
      </c>
      <c r="E428" t="str">
        <v/>
      </c>
    </row>
    <row r="429" spans="3:5" x14ac:dyDescent="0.25">
      <c r="C429" s="19" t="str">
        <v/>
      </c>
      <c r="E429" t="str">
        <v/>
      </c>
    </row>
    <row r="430" spans="3:5" x14ac:dyDescent="0.25">
      <c r="C430" s="19" t="str">
        <v/>
      </c>
      <c r="E430" t="str">
        <v/>
      </c>
    </row>
    <row r="431" spans="3:5" x14ac:dyDescent="0.25">
      <c r="C431" s="19" t="str">
        <v/>
      </c>
      <c r="E431" t="str">
        <v/>
      </c>
    </row>
    <row r="432" spans="3:5" x14ac:dyDescent="0.25">
      <c r="C432" s="19" t="str">
        <v/>
      </c>
      <c r="E432" t="str">
        <v/>
      </c>
    </row>
    <row r="433" spans="3:5" x14ac:dyDescent="0.25">
      <c r="C433" s="19" t="str">
        <v/>
      </c>
      <c r="E433" t="str">
        <v/>
      </c>
    </row>
    <row r="434" spans="3:5" x14ac:dyDescent="0.25">
      <c r="C434" s="19" t="str">
        <v/>
      </c>
      <c r="E434" t="str">
        <v/>
      </c>
    </row>
    <row r="435" spans="3:5" x14ac:dyDescent="0.25">
      <c r="C435" s="19" t="str">
        <v/>
      </c>
      <c r="E435" t="str">
        <v/>
      </c>
    </row>
    <row r="436" spans="3:5" x14ac:dyDescent="0.25">
      <c r="C436" s="19" t="str">
        <v/>
      </c>
      <c r="E436" t="str">
        <v/>
      </c>
    </row>
    <row r="437" spans="3:5" x14ac:dyDescent="0.25">
      <c r="C437" s="19" t="str">
        <v/>
      </c>
      <c r="E437" t="str">
        <v/>
      </c>
    </row>
    <row r="438" spans="3:5" x14ac:dyDescent="0.25">
      <c r="C438" s="19" t="str">
        <v/>
      </c>
      <c r="E438" t="str">
        <v/>
      </c>
    </row>
    <row r="439" spans="3:5" x14ac:dyDescent="0.25">
      <c r="C439" s="19" t="str">
        <v/>
      </c>
      <c r="E439" t="str">
        <v/>
      </c>
    </row>
    <row r="440" spans="3:5" x14ac:dyDescent="0.25">
      <c r="C440" s="19" t="str">
        <v/>
      </c>
      <c r="E440" t="str">
        <v/>
      </c>
    </row>
    <row r="441" spans="3:5" x14ac:dyDescent="0.25">
      <c r="C441" s="19" t="str">
        <v/>
      </c>
      <c r="E441" t="str">
        <v/>
      </c>
    </row>
    <row r="442" spans="3:5" x14ac:dyDescent="0.25">
      <c r="C442" s="19" t="str">
        <v/>
      </c>
      <c r="E442" t="str">
        <v/>
      </c>
    </row>
    <row r="443" spans="3:5" x14ac:dyDescent="0.25">
      <c r="C443" s="19" t="str">
        <v/>
      </c>
      <c r="E443" t="str">
        <v/>
      </c>
    </row>
    <row r="444" spans="3:5" x14ac:dyDescent="0.25">
      <c r="C444" s="19" t="str">
        <v/>
      </c>
      <c r="E444" t="str">
        <v/>
      </c>
    </row>
    <row r="445" spans="3:5" x14ac:dyDescent="0.25">
      <c r="C445" s="19" t="str">
        <v/>
      </c>
      <c r="E445" t="str">
        <v/>
      </c>
    </row>
    <row r="446" spans="3:5" x14ac:dyDescent="0.25">
      <c r="C446" s="19" t="str">
        <v/>
      </c>
      <c r="E446" t="str">
        <v/>
      </c>
    </row>
    <row r="447" spans="3:5" x14ac:dyDescent="0.25">
      <c r="C447" s="19" t="str">
        <v/>
      </c>
      <c r="E447" t="str">
        <v/>
      </c>
    </row>
    <row r="448" spans="3:5" x14ac:dyDescent="0.25">
      <c r="C448" s="19" t="str">
        <v/>
      </c>
      <c r="E448" t="str">
        <v/>
      </c>
    </row>
    <row r="449" spans="3:5" x14ac:dyDescent="0.25">
      <c r="C449" s="19" t="str">
        <v/>
      </c>
      <c r="E449" t="str">
        <v/>
      </c>
    </row>
    <row r="450" spans="3:5" x14ac:dyDescent="0.25">
      <c r="C450" s="19" t="str">
        <v/>
      </c>
      <c r="E450" t="str">
        <v/>
      </c>
    </row>
    <row r="451" spans="3:5" x14ac:dyDescent="0.25">
      <c r="C451" s="19" t="str">
        <v/>
      </c>
      <c r="E451" t="str">
        <v/>
      </c>
    </row>
    <row r="452" spans="3:5" x14ac:dyDescent="0.25">
      <c r="C452" s="19" t="str">
        <v/>
      </c>
      <c r="E452" t="str">
        <v/>
      </c>
    </row>
    <row r="453" spans="3:5" x14ac:dyDescent="0.25">
      <c r="C453" s="19" t="str">
        <v/>
      </c>
      <c r="E453" t="str">
        <v/>
      </c>
    </row>
    <row r="454" spans="3:5" x14ac:dyDescent="0.25">
      <c r="C454" s="19" t="str">
        <v>FHHOLDQ.IUSA_MBOS</v>
      </c>
      <c r="E454" t="str">
        <v/>
      </c>
    </row>
    <row r="455" spans="3:5" x14ac:dyDescent="0.25">
      <c r="C455" s="19" t="str">
        <v>FPOP2024Q.IUSA_MBOS</v>
      </c>
      <c r="E455" t="str">
        <v/>
      </c>
    </row>
    <row r="456" spans="3:5" x14ac:dyDescent="0.25">
      <c r="C456" s="19" t="str">
        <v>FPOP2529Q.IUSA_MBOS</v>
      </c>
      <c r="E456" t="str">
        <v/>
      </c>
    </row>
    <row r="457" spans="3:5" x14ac:dyDescent="0.25">
      <c r="C457" s="19" t="str">
        <v>FPOP3034Q.IUSA_MBOS</v>
      </c>
      <c r="E457" t="str">
        <v/>
      </c>
    </row>
    <row r="458" spans="3:5" x14ac:dyDescent="0.25">
      <c r="C458" s="19" t="str">
        <v>FPOPQ.IUSA_MBOS</v>
      </c>
      <c r="E458" t="str">
        <v/>
      </c>
    </row>
    <row r="459" spans="3:5" x14ac:dyDescent="0.25">
      <c r="C459" s="19" t="str">
        <v>FYHHMEDQ.IUSA_MBOS</v>
      </c>
      <c r="E459" t="str">
        <v/>
      </c>
    </row>
    <row r="460" spans="3:5" x14ac:dyDescent="0.25">
      <c r="C460" s="19" t="str">
        <v>FET.IUSA_MBOS</v>
      </c>
      <c r="E460" t="str">
        <v/>
      </c>
    </row>
    <row r="461" spans="3:5" x14ac:dyDescent="0.25">
      <c r="C461" s="19" t="str">
        <v>FCPIU.IUSA_MBOS</v>
      </c>
      <c r="E461" t="str">
        <v/>
      </c>
    </row>
    <row r="462" spans="3:5" x14ac:dyDescent="0.25">
      <c r="C462" s="19" t="str">
        <v>FGDP$Q.IUSA_MBOS</v>
      </c>
      <c r="E462" t="str">
        <v/>
      </c>
    </row>
    <row r="463" spans="3:5" x14ac:dyDescent="0.25">
      <c r="C463" s="19" t="str">
        <v>FHPNR.IUSA_MBOS</v>
      </c>
      <c r="E463" t="str">
        <v/>
      </c>
    </row>
    <row r="464" spans="3:5" x14ac:dyDescent="0.25">
      <c r="C464" s="19" t="str">
        <v>FHPNM.IUSA_MBOS</v>
      </c>
      <c r="E464" t="str">
        <v/>
      </c>
    </row>
    <row r="465" spans="3:5" x14ac:dyDescent="0.25">
      <c r="C465" s="19" t="str">
        <v>FHX1.IUSA_MBOS</v>
      </c>
      <c r="E465" t="str">
        <v/>
      </c>
    </row>
    <row r="466" spans="3:5" x14ac:dyDescent="0.25">
      <c r="C466" s="19" t="str">
        <v>FHX1MED.IUSA_MBOS</v>
      </c>
      <c r="E466" t="str">
        <v/>
      </c>
    </row>
    <row r="467" spans="3:5" x14ac:dyDescent="0.25">
      <c r="C467" s="19" t="str">
        <v/>
      </c>
      <c r="E467" t="str">
        <v/>
      </c>
    </row>
    <row r="468" spans="3:5" x14ac:dyDescent="0.25">
      <c r="C468" s="19" t="str">
        <v/>
      </c>
      <c r="E468" t="str">
        <v/>
      </c>
    </row>
    <row r="469" spans="3:5" x14ac:dyDescent="0.25">
      <c r="C469" s="19" t="str">
        <v/>
      </c>
      <c r="E469" t="str">
        <v/>
      </c>
    </row>
    <row r="470" spans="3:5" x14ac:dyDescent="0.25">
      <c r="C470" s="19" t="str">
        <v/>
      </c>
      <c r="E470" t="str">
        <v/>
      </c>
    </row>
    <row r="471" spans="3:5" x14ac:dyDescent="0.25">
      <c r="C471" s="19" t="str">
        <v/>
      </c>
      <c r="E471" t="str">
        <v/>
      </c>
    </row>
    <row r="472" spans="3:5" x14ac:dyDescent="0.25">
      <c r="C472" s="19" t="str">
        <v/>
      </c>
      <c r="E472" t="str">
        <v/>
      </c>
    </row>
    <row r="473" spans="3:5" x14ac:dyDescent="0.25">
      <c r="C473" s="19" t="str">
        <v/>
      </c>
      <c r="E473" t="str">
        <v/>
      </c>
    </row>
    <row r="474" spans="3:5" x14ac:dyDescent="0.25">
      <c r="C474" s="19" t="str">
        <v/>
      </c>
      <c r="E474" t="str">
        <v/>
      </c>
    </row>
    <row r="475" spans="3:5" x14ac:dyDescent="0.25">
      <c r="C475" s="19" t="str">
        <v/>
      </c>
      <c r="E475" t="str">
        <v/>
      </c>
    </row>
    <row r="476" spans="3:5" x14ac:dyDescent="0.25">
      <c r="C476" s="19" t="str">
        <v/>
      </c>
      <c r="E476" t="str">
        <v/>
      </c>
    </row>
    <row r="477" spans="3:5" x14ac:dyDescent="0.25">
      <c r="C477" s="19" t="str">
        <v/>
      </c>
      <c r="E477" t="str">
        <v/>
      </c>
    </row>
    <row r="478" spans="3:5" x14ac:dyDescent="0.25">
      <c r="C478" s="19" t="str">
        <v/>
      </c>
      <c r="E478" t="str">
        <v/>
      </c>
    </row>
    <row r="479" spans="3:5" x14ac:dyDescent="0.25">
      <c r="C479" s="19" t="str">
        <v/>
      </c>
      <c r="E479" t="str">
        <v/>
      </c>
    </row>
    <row r="480" spans="3:5" x14ac:dyDescent="0.25">
      <c r="C480" s="19" t="str">
        <v/>
      </c>
      <c r="E480" t="str">
        <v/>
      </c>
    </row>
    <row r="481" spans="3:5" x14ac:dyDescent="0.25">
      <c r="C481" s="19" t="str">
        <v/>
      </c>
      <c r="E481" t="str">
        <v/>
      </c>
    </row>
    <row r="482" spans="3:5" x14ac:dyDescent="0.25">
      <c r="C482" s="19" t="str">
        <v/>
      </c>
      <c r="E482" t="str">
        <v/>
      </c>
    </row>
    <row r="483" spans="3:5" x14ac:dyDescent="0.25">
      <c r="C483" s="19" t="str">
        <v/>
      </c>
      <c r="E483" t="str">
        <v/>
      </c>
    </row>
    <row r="484" spans="3:5" x14ac:dyDescent="0.25">
      <c r="C484" s="19" t="str">
        <v/>
      </c>
      <c r="E484" t="str">
        <v/>
      </c>
    </row>
    <row r="485" spans="3:5" x14ac:dyDescent="0.25">
      <c r="C485" s="19" t="str">
        <v/>
      </c>
      <c r="E485" t="str">
        <v/>
      </c>
    </row>
    <row r="486" spans="3:5" x14ac:dyDescent="0.25">
      <c r="C486" s="19" t="str">
        <v/>
      </c>
      <c r="E486" t="str">
        <v/>
      </c>
    </row>
    <row r="487" spans="3:5" x14ac:dyDescent="0.25">
      <c r="C487" s="19" t="str">
        <v/>
      </c>
      <c r="E487" t="str">
        <v/>
      </c>
    </row>
    <row r="488" spans="3:5" x14ac:dyDescent="0.25">
      <c r="C488" s="19" t="str">
        <v/>
      </c>
      <c r="E488" t="str">
        <v/>
      </c>
    </row>
    <row r="489" spans="3:5" x14ac:dyDescent="0.25">
      <c r="C489" s="19" t="str">
        <v/>
      </c>
      <c r="E489" t="str">
        <v/>
      </c>
    </row>
    <row r="490" spans="3:5" x14ac:dyDescent="0.25">
      <c r="C490" s="19" t="str">
        <v/>
      </c>
      <c r="E490" t="str">
        <v/>
      </c>
    </row>
    <row r="491" spans="3:5" x14ac:dyDescent="0.25">
      <c r="C491" s="19" t="str">
        <v/>
      </c>
      <c r="E491" t="str">
        <v/>
      </c>
    </row>
    <row r="492" spans="3:5" x14ac:dyDescent="0.25">
      <c r="C492" s="19" t="str">
        <v/>
      </c>
      <c r="E492" t="str">
        <v/>
      </c>
    </row>
    <row r="493" spans="3:5" x14ac:dyDescent="0.25">
      <c r="C493" s="19" t="str">
        <v/>
      </c>
      <c r="E493" t="str">
        <v/>
      </c>
    </row>
    <row r="494" spans="3:5" x14ac:dyDescent="0.25">
      <c r="C494" s="19" t="str">
        <v/>
      </c>
      <c r="E494" t="str">
        <v/>
      </c>
    </row>
    <row r="495" spans="3:5" x14ac:dyDescent="0.25">
      <c r="C495" s="19" t="str">
        <v/>
      </c>
      <c r="E495" t="str">
        <v/>
      </c>
    </row>
    <row r="496" spans="3:5" x14ac:dyDescent="0.25">
      <c r="C496" s="19" t="str">
        <v/>
      </c>
      <c r="E496" t="str">
        <v/>
      </c>
    </row>
    <row r="497" spans="3:5" x14ac:dyDescent="0.25">
      <c r="C497" s="19" t="str">
        <v/>
      </c>
      <c r="E497" t="str">
        <v/>
      </c>
    </row>
    <row r="498" spans="3:5" x14ac:dyDescent="0.25">
      <c r="C498" s="19" t="str">
        <v/>
      </c>
      <c r="E498" t="str">
        <v/>
      </c>
    </row>
    <row r="499" spans="3:5" x14ac:dyDescent="0.25">
      <c r="C499" s="19" t="str">
        <v/>
      </c>
      <c r="E499" t="str">
        <v/>
      </c>
    </row>
    <row r="500" spans="3:5" x14ac:dyDescent="0.25">
      <c r="C500" s="19" t="str">
        <v/>
      </c>
      <c r="E500" t="str">
        <v/>
      </c>
    </row>
    <row r="501" spans="3:5" x14ac:dyDescent="0.25">
      <c r="C501" s="19" t="str">
        <v/>
      </c>
      <c r="E501" t="str">
        <v/>
      </c>
    </row>
    <row r="502" spans="3:5" x14ac:dyDescent="0.25">
      <c r="C502" s="19" t="str">
        <v/>
      </c>
      <c r="E502" t="str">
        <v/>
      </c>
    </row>
    <row r="503" spans="3:5" x14ac:dyDescent="0.25">
      <c r="C503" s="19" t="str">
        <v/>
      </c>
      <c r="E503" t="str">
        <v/>
      </c>
    </row>
    <row r="504" spans="3:5" x14ac:dyDescent="0.25">
      <c r="C504" s="19" t="str">
        <v>FHHOLDQ.IUSA_DMNWY</v>
      </c>
      <c r="E504" t="str">
        <v/>
      </c>
    </row>
    <row r="505" spans="3:5" x14ac:dyDescent="0.25">
      <c r="C505" s="19" t="str">
        <v>FPOP2024Q.IUSA_DMNWY</v>
      </c>
      <c r="E505" t="str">
        <v/>
      </c>
    </row>
    <row r="506" spans="3:5" x14ac:dyDescent="0.25">
      <c r="C506" s="19" t="str">
        <v>FPOP2529Q.IUSA_DMNWY</v>
      </c>
      <c r="E506" t="str">
        <v/>
      </c>
    </row>
    <row r="507" spans="3:5" x14ac:dyDescent="0.25">
      <c r="C507" s="19" t="str">
        <v>FPOP3034Q.IUSA_DMNWY</v>
      </c>
      <c r="E507" t="str">
        <v/>
      </c>
    </row>
    <row r="508" spans="3:5" x14ac:dyDescent="0.25">
      <c r="C508" s="19" t="str">
        <v>FPOPQ.IUSA_DMNWY</v>
      </c>
      <c r="E508" t="str">
        <v/>
      </c>
    </row>
    <row r="509" spans="3:5" x14ac:dyDescent="0.25">
      <c r="C509" s="19" t="str">
        <v>FYHHMEDQ.IUSA_DMNWY</v>
      </c>
      <c r="E509" t="str">
        <v/>
      </c>
    </row>
    <row r="510" spans="3:5" x14ac:dyDescent="0.25">
      <c r="C510" s="19" t="str">
        <v>FET.IUSA_DMNWY</v>
      </c>
      <c r="E510" t="str">
        <v/>
      </c>
    </row>
    <row r="511" spans="3:5" x14ac:dyDescent="0.25">
      <c r="C511" s="19" t="str">
        <v>FCPIU.IUSA_DMNWY</v>
      </c>
      <c r="E511" t="str">
        <v/>
      </c>
    </row>
    <row r="512" spans="3:5" x14ac:dyDescent="0.25">
      <c r="C512" s="19" t="str">
        <v>FGDP$Q.IUSA_DMNWY</v>
      </c>
      <c r="E512" t="str">
        <v/>
      </c>
    </row>
    <row r="513" spans="3:5" x14ac:dyDescent="0.25">
      <c r="C513" s="19" t="str">
        <v>FHPNR.IUSA_DMNWY</v>
      </c>
      <c r="E513" t="str">
        <v/>
      </c>
    </row>
    <row r="514" spans="3:5" x14ac:dyDescent="0.25">
      <c r="C514" s="19" t="str">
        <v>FHPNM.IUSA_DMNWY</v>
      </c>
      <c r="E514" t="str">
        <v/>
      </c>
    </row>
    <row r="515" spans="3:5" x14ac:dyDescent="0.25">
      <c r="C515" s="19" t="str">
        <v>FHX1.IUSA_DMNWY</v>
      </c>
      <c r="E515" t="str">
        <v/>
      </c>
    </row>
    <row r="516" spans="3:5" x14ac:dyDescent="0.25">
      <c r="C516" s="19" t="str">
        <v>FHX1MED.IUSA_DMNWY</v>
      </c>
      <c r="E516" t="str">
        <v/>
      </c>
    </row>
    <row r="517" spans="3:5" x14ac:dyDescent="0.25">
      <c r="C517" s="19" t="str">
        <v/>
      </c>
      <c r="E517" t="str">
        <v/>
      </c>
    </row>
    <row r="518" spans="3:5" x14ac:dyDescent="0.25">
      <c r="C518" s="19" t="str">
        <v/>
      </c>
      <c r="E518" t="str">
        <v/>
      </c>
    </row>
    <row r="519" spans="3:5" x14ac:dyDescent="0.25">
      <c r="C519" s="19" t="str">
        <v/>
      </c>
      <c r="E519" t="str">
        <v/>
      </c>
    </row>
    <row r="520" spans="3:5" x14ac:dyDescent="0.25">
      <c r="C520" s="19" t="str">
        <v/>
      </c>
      <c r="E520" t="str">
        <v/>
      </c>
    </row>
    <row r="521" spans="3:5" x14ac:dyDescent="0.25">
      <c r="C521" s="19" t="str">
        <v/>
      </c>
      <c r="E521" t="str">
        <v/>
      </c>
    </row>
    <row r="522" spans="3:5" x14ac:dyDescent="0.25">
      <c r="C522" s="19" t="str">
        <v/>
      </c>
      <c r="E522" t="str">
        <v/>
      </c>
    </row>
    <row r="523" spans="3:5" x14ac:dyDescent="0.25">
      <c r="C523" s="19" t="str">
        <v/>
      </c>
      <c r="E523" t="str">
        <v/>
      </c>
    </row>
    <row r="524" spans="3:5" x14ac:dyDescent="0.25">
      <c r="C524" s="19" t="str">
        <v/>
      </c>
      <c r="E524" t="str">
        <v/>
      </c>
    </row>
    <row r="525" spans="3:5" x14ac:dyDescent="0.25">
      <c r="C525" s="19" t="str">
        <v/>
      </c>
      <c r="E525" t="str">
        <v/>
      </c>
    </row>
    <row r="526" spans="3:5" x14ac:dyDescent="0.25">
      <c r="C526" s="19" t="str">
        <v/>
      </c>
      <c r="E526" t="str">
        <v/>
      </c>
    </row>
    <row r="527" spans="3:5" x14ac:dyDescent="0.25">
      <c r="C527" s="19" t="str">
        <v/>
      </c>
      <c r="E527" t="str">
        <v/>
      </c>
    </row>
    <row r="528" spans="3:5" x14ac:dyDescent="0.25">
      <c r="C528" s="19" t="str">
        <v/>
      </c>
      <c r="E528" t="str">
        <v/>
      </c>
    </row>
    <row r="529" spans="3:5" x14ac:dyDescent="0.25">
      <c r="C529" s="19" t="str">
        <v/>
      </c>
      <c r="E529" t="str">
        <v/>
      </c>
    </row>
    <row r="530" spans="3:5" x14ac:dyDescent="0.25">
      <c r="C530" s="19" t="str">
        <v/>
      </c>
      <c r="E530" t="str">
        <v/>
      </c>
    </row>
    <row r="531" spans="3:5" x14ac:dyDescent="0.25">
      <c r="C531" s="19" t="str">
        <v/>
      </c>
      <c r="E531" t="str">
        <v/>
      </c>
    </row>
    <row r="532" spans="3:5" x14ac:dyDescent="0.25">
      <c r="C532" s="19" t="str">
        <v/>
      </c>
      <c r="E532" t="str">
        <v/>
      </c>
    </row>
    <row r="533" spans="3:5" x14ac:dyDescent="0.25">
      <c r="C533" s="19" t="str">
        <v/>
      </c>
      <c r="E533" t="str">
        <v/>
      </c>
    </row>
    <row r="534" spans="3:5" x14ac:dyDescent="0.25">
      <c r="C534" s="19" t="str">
        <v/>
      </c>
      <c r="E534" t="str">
        <v/>
      </c>
    </row>
    <row r="535" spans="3:5" x14ac:dyDescent="0.25">
      <c r="C535" s="19" t="str">
        <v/>
      </c>
      <c r="E535" t="str">
        <v/>
      </c>
    </row>
    <row r="536" spans="3:5" x14ac:dyDescent="0.25">
      <c r="C536" s="19" t="str">
        <v/>
      </c>
      <c r="E536" t="str">
        <v/>
      </c>
    </row>
    <row r="537" spans="3:5" x14ac:dyDescent="0.25">
      <c r="C537" s="19" t="str">
        <v/>
      </c>
      <c r="E537" t="str">
        <v/>
      </c>
    </row>
    <row r="538" spans="3:5" x14ac:dyDescent="0.25">
      <c r="C538" s="19" t="str">
        <v/>
      </c>
      <c r="E538" t="str">
        <v/>
      </c>
    </row>
    <row r="539" spans="3:5" x14ac:dyDescent="0.25">
      <c r="C539" s="19" t="str">
        <v/>
      </c>
      <c r="E539" t="str">
        <v/>
      </c>
    </row>
    <row r="540" spans="3:5" x14ac:dyDescent="0.25">
      <c r="C540" s="19" t="str">
        <v/>
      </c>
      <c r="E540" t="str">
        <v/>
      </c>
    </row>
    <row r="541" spans="3:5" x14ac:dyDescent="0.25">
      <c r="C541" s="19" t="str">
        <v/>
      </c>
      <c r="E541" t="str">
        <v/>
      </c>
    </row>
    <row r="542" spans="3:5" x14ac:dyDescent="0.25">
      <c r="C542" s="19" t="str">
        <v/>
      </c>
      <c r="E542" t="str">
        <v/>
      </c>
    </row>
    <row r="543" spans="3:5" x14ac:dyDescent="0.25">
      <c r="C543" s="19" t="str">
        <v/>
      </c>
      <c r="E543" t="str">
        <v/>
      </c>
    </row>
    <row r="544" spans="3:5" x14ac:dyDescent="0.25">
      <c r="C544" s="19" t="str">
        <v/>
      </c>
      <c r="E544" t="str">
        <v/>
      </c>
    </row>
    <row r="545" spans="3:5" x14ac:dyDescent="0.25">
      <c r="C545" s="19" t="str">
        <v/>
      </c>
      <c r="E545" t="str">
        <v/>
      </c>
    </row>
    <row r="546" spans="3:5" x14ac:dyDescent="0.25">
      <c r="C546" s="19" t="str">
        <v/>
      </c>
      <c r="E546" t="str">
        <v/>
      </c>
    </row>
    <row r="547" spans="3:5" x14ac:dyDescent="0.25">
      <c r="C547" s="19" t="str">
        <v/>
      </c>
      <c r="E547" t="str">
        <v/>
      </c>
    </row>
    <row r="548" spans="3:5" x14ac:dyDescent="0.25">
      <c r="C548" s="19" t="str">
        <v/>
      </c>
      <c r="E548" t="str">
        <v/>
      </c>
    </row>
    <row r="549" spans="3:5" x14ac:dyDescent="0.25">
      <c r="C549" s="19" t="str">
        <v/>
      </c>
      <c r="E549" t="str">
        <v/>
      </c>
    </row>
    <row r="550" spans="3:5" x14ac:dyDescent="0.25">
      <c r="C550" s="19" t="str">
        <v/>
      </c>
      <c r="E550" t="str">
        <v/>
      </c>
    </row>
    <row r="551" spans="3:5" x14ac:dyDescent="0.25">
      <c r="C551" s="19" t="str">
        <v/>
      </c>
      <c r="E551" t="str">
        <v/>
      </c>
    </row>
    <row r="552" spans="3:5" x14ac:dyDescent="0.25">
      <c r="C552" s="19" t="str">
        <v/>
      </c>
      <c r="E552" t="str">
        <v/>
      </c>
    </row>
    <row r="553" spans="3:5" x14ac:dyDescent="0.25">
      <c r="C553" s="19" t="str">
        <v/>
      </c>
      <c r="E553" t="str">
        <v/>
      </c>
    </row>
    <row r="554" spans="3:5" x14ac:dyDescent="0.25">
      <c r="C554" s="19" t="str">
        <v>FHHOLDQ.IUSA_DMNEK</v>
      </c>
      <c r="E554" t="str">
        <v/>
      </c>
    </row>
    <row r="555" spans="3:5" x14ac:dyDescent="0.25">
      <c r="C555" s="19" t="str">
        <v>FPOP2024Q.IUSA_DMNEK</v>
      </c>
      <c r="E555" t="str">
        <v/>
      </c>
    </row>
    <row r="556" spans="3:5" x14ac:dyDescent="0.25">
      <c r="C556" s="19" t="str">
        <v>FPOP2529Q.IUSA_DMNEK</v>
      </c>
      <c r="E556" t="str">
        <v/>
      </c>
    </row>
    <row r="557" spans="3:5" x14ac:dyDescent="0.25">
      <c r="C557" s="19" t="str">
        <v>FPOP3034Q.IUSA_DMNEK</v>
      </c>
      <c r="E557" t="str">
        <v/>
      </c>
    </row>
    <row r="558" spans="3:5" x14ac:dyDescent="0.25">
      <c r="C558" s="19" t="str">
        <v>FPOPQ.IUSA_DMNEK</v>
      </c>
      <c r="E558" t="str">
        <v/>
      </c>
    </row>
    <row r="559" spans="3:5" x14ac:dyDescent="0.25">
      <c r="C559" s="19" t="str">
        <v>FYHHMEDQ.IUSA_DMNEK</v>
      </c>
      <c r="E559" t="str">
        <v/>
      </c>
    </row>
    <row r="560" spans="3:5" x14ac:dyDescent="0.25">
      <c r="C560" s="19" t="str">
        <v>FET.IUSA_DMNEK</v>
      </c>
      <c r="E560" t="str">
        <v/>
      </c>
    </row>
    <row r="561" spans="3:5" x14ac:dyDescent="0.25">
      <c r="C561" s="19" t="str">
        <v>FCPIU.IUSA_DMNEK</v>
      </c>
      <c r="E561" t="str">
        <v/>
      </c>
    </row>
    <row r="562" spans="3:5" x14ac:dyDescent="0.25">
      <c r="C562" s="19" t="str">
        <v>FGDP$Q.IUSA_DMNEK</v>
      </c>
      <c r="E562" t="str">
        <v/>
      </c>
    </row>
    <row r="563" spans="3:5" x14ac:dyDescent="0.25">
      <c r="C563" s="19" t="str">
        <v>FHPNR.IUSA_DMNEK</v>
      </c>
      <c r="E563" t="str">
        <v/>
      </c>
    </row>
    <row r="564" spans="3:5" x14ac:dyDescent="0.25">
      <c r="C564" s="19" t="str">
        <v>FHPNM.IUSA_DMNEK</v>
      </c>
      <c r="E564" t="str">
        <v/>
      </c>
    </row>
    <row r="565" spans="3:5" x14ac:dyDescent="0.25">
      <c r="C565" s="19" t="str">
        <v>FHX1.IUSA_DMNEK</v>
      </c>
      <c r="E565" t="str">
        <v/>
      </c>
    </row>
    <row r="566" spans="3:5" x14ac:dyDescent="0.25">
      <c r="C566" s="19" t="str">
        <v>FHX1MED.IUSA_DMNEK</v>
      </c>
      <c r="E566" t="str">
        <v/>
      </c>
    </row>
    <row r="567" spans="3:5" x14ac:dyDescent="0.25">
      <c r="C567" s="19" t="str">
        <v/>
      </c>
      <c r="E567" t="str">
        <v/>
      </c>
    </row>
    <row r="568" spans="3:5" x14ac:dyDescent="0.25">
      <c r="C568" s="19" t="str">
        <v/>
      </c>
      <c r="E568" t="str">
        <v/>
      </c>
    </row>
    <row r="569" spans="3:5" x14ac:dyDescent="0.25">
      <c r="C569" s="19" t="str">
        <v/>
      </c>
      <c r="E569" t="str">
        <v/>
      </c>
    </row>
    <row r="570" spans="3:5" x14ac:dyDescent="0.25">
      <c r="C570" s="19" t="str">
        <v/>
      </c>
      <c r="E570" t="str">
        <v/>
      </c>
    </row>
    <row r="571" spans="3:5" x14ac:dyDescent="0.25">
      <c r="C571" s="19" t="str">
        <v/>
      </c>
      <c r="E571" t="str">
        <v/>
      </c>
    </row>
    <row r="572" spans="3:5" x14ac:dyDescent="0.25">
      <c r="C572" s="19" t="str">
        <v/>
      </c>
      <c r="E572" t="str">
        <v/>
      </c>
    </row>
    <row r="573" spans="3:5" x14ac:dyDescent="0.25">
      <c r="C573" s="19" t="str">
        <v/>
      </c>
      <c r="E573" t="str">
        <v/>
      </c>
    </row>
    <row r="574" spans="3:5" x14ac:dyDescent="0.25">
      <c r="C574" s="19" t="str">
        <v/>
      </c>
      <c r="E574" t="str">
        <v/>
      </c>
    </row>
    <row r="575" spans="3:5" x14ac:dyDescent="0.25">
      <c r="C575" s="19" t="str">
        <v/>
      </c>
      <c r="E575" t="str">
        <v/>
      </c>
    </row>
    <row r="576" spans="3:5" x14ac:dyDescent="0.25">
      <c r="C576" s="19" t="str">
        <v/>
      </c>
      <c r="E576" t="str">
        <v/>
      </c>
    </row>
    <row r="577" spans="3:5" x14ac:dyDescent="0.25">
      <c r="C577" s="19" t="str">
        <v/>
      </c>
      <c r="E577" t="str">
        <v/>
      </c>
    </row>
    <row r="578" spans="3:5" x14ac:dyDescent="0.25">
      <c r="C578" s="19" t="str">
        <v/>
      </c>
      <c r="E578" t="str">
        <v/>
      </c>
    </row>
    <row r="579" spans="3:5" x14ac:dyDescent="0.25">
      <c r="C579" s="19" t="str">
        <v/>
      </c>
      <c r="E579" t="str">
        <v/>
      </c>
    </row>
    <row r="580" spans="3:5" x14ac:dyDescent="0.25">
      <c r="C580" s="19" t="str">
        <v/>
      </c>
      <c r="E580" t="str">
        <v/>
      </c>
    </row>
    <row r="581" spans="3:5" x14ac:dyDescent="0.25">
      <c r="C581" s="19" t="str">
        <v/>
      </c>
      <c r="E581" t="str">
        <v/>
      </c>
    </row>
    <row r="582" spans="3:5" x14ac:dyDescent="0.25">
      <c r="C582" s="19" t="str">
        <v/>
      </c>
      <c r="E582" t="str">
        <v/>
      </c>
    </row>
    <row r="583" spans="3:5" x14ac:dyDescent="0.25">
      <c r="C583" s="19" t="str">
        <v/>
      </c>
      <c r="E583" t="str">
        <v/>
      </c>
    </row>
    <row r="584" spans="3:5" x14ac:dyDescent="0.25">
      <c r="C584" s="19" t="str">
        <v/>
      </c>
      <c r="E584" t="str">
        <v/>
      </c>
    </row>
    <row r="585" spans="3:5" x14ac:dyDescent="0.25">
      <c r="C585" s="19" t="str">
        <v/>
      </c>
      <c r="E585" t="str">
        <v/>
      </c>
    </row>
    <row r="586" spans="3:5" x14ac:dyDescent="0.25">
      <c r="C586" s="19" t="str">
        <v/>
      </c>
      <c r="E586" t="str">
        <v/>
      </c>
    </row>
    <row r="587" spans="3:5" x14ac:dyDescent="0.25">
      <c r="C587" s="19" t="str">
        <v/>
      </c>
      <c r="E587" t="str">
        <v/>
      </c>
    </row>
    <row r="588" spans="3:5" x14ac:dyDescent="0.25">
      <c r="C588" s="19" t="str">
        <v/>
      </c>
      <c r="E588" t="str">
        <v/>
      </c>
    </row>
    <row r="589" spans="3:5" x14ac:dyDescent="0.25">
      <c r="C589" s="19" t="str">
        <v/>
      </c>
      <c r="E589" t="str">
        <v/>
      </c>
    </row>
    <row r="590" spans="3:5" x14ac:dyDescent="0.25">
      <c r="C590" s="19" t="str">
        <v/>
      </c>
      <c r="E590" t="str">
        <v/>
      </c>
    </row>
    <row r="591" spans="3:5" x14ac:dyDescent="0.25">
      <c r="C591" s="19" t="str">
        <v/>
      </c>
      <c r="E591" t="str">
        <v/>
      </c>
    </row>
    <row r="592" spans="3:5" x14ac:dyDescent="0.25">
      <c r="C592" s="19" t="str">
        <v/>
      </c>
      <c r="E592" t="str">
        <v/>
      </c>
    </row>
    <row r="593" spans="3:3" x14ac:dyDescent="0.25">
      <c r="C593" s="19" t="str">
        <v/>
      </c>
    </row>
    <row r="594" spans="3:3" x14ac:dyDescent="0.25">
      <c r="C594" s="19" t="str">
        <v/>
      </c>
    </row>
    <row r="595" spans="3:3" x14ac:dyDescent="0.25">
      <c r="C595" s="19" t="str">
        <v/>
      </c>
    </row>
    <row r="596" spans="3:3" x14ac:dyDescent="0.25">
      <c r="C596" s="19" t="str">
        <v/>
      </c>
    </row>
    <row r="597" spans="3:3" x14ac:dyDescent="0.25">
      <c r="C597" s="19" t="str">
        <v/>
      </c>
    </row>
    <row r="598" spans="3:3" x14ac:dyDescent="0.25">
      <c r="C598" s="19" t="str">
        <v/>
      </c>
    </row>
    <row r="599" spans="3:3" x14ac:dyDescent="0.25">
      <c r="C599" s="19" t="str">
        <v/>
      </c>
    </row>
    <row r="600" spans="3:3" x14ac:dyDescent="0.25">
      <c r="C600" s="19" t="str">
        <v/>
      </c>
    </row>
    <row r="601" spans="3:3" x14ac:dyDescent="0.25">
      <c r="C601" s="19" t="str">
        <v/>
      </c>
    </row>
    <row r="602" spans="3:3" x14ac:dyDescent="0.25">
      <c r="C602" s="19" t="str">
        <v/>
      </c>
    </row>
    <row r="603" spans="3:3" x14ac:dyDescent="0.25">
      <c r="C603" s="19" t="str">
        <v/>
      </c>
    </row>
    <row r="604" spans="3:3" x14ac:dyDescent="0.25">
      <c r="C604" s="19" t="str">
        <v>FHHOLDQ.IUSA_DMNAS</v>
      </c>
    </row>
    <row r="605" spans="3:3" x14ac:dyDescent="0.25">
      <c r="C605" s="19" t="str">
        <v>FPOP2024Q.IUSA_DMNAS</v>
      </c>
    </row>
    <row r="606" spans="3:3" x14ac:dyDescent="0.25">
      <c r="C606" s="19" t="str">
        <v>FPOP2529Q.IUSA_DMNAS</v>
      </c>
    </row>
    <row r="607" spans="3:3" x14ac:dyDescent="0.25">
      <c r="C607" s="19" t="str">
        <v>FPOP3034Q.IUSA_DMNAS</v>
      </c>
    </row>
    <row r="608" spans="3:3" x14ac:dyDescent="0.25">
      <c r="C608" s="19" t="str">
        <v>FPOPQ.IUSA_DMNAS</v>
      </c>
    </row>
    <row r="609" spans="3:3" x14ac:dyDescent="0.25">
      <c r="C609" s="19" t="str">
        <v>FYHHMEDQ.IUSA_DMNAS</v>
      </c>
    </row>
    <row r="610" spans="3:3" x14ac:dyDescent="0.25">
      <c r="C610" s="19" t="str">
        <v>FET.IUSA_DMNAS</v>
      </c>
    </row>
    <row r="611" spans="3:3" x14ac:dyDescent="0.25">
      <c r="C611" s="19" t="str">
        <v>FCPIU.IUSA_DMNAS</v>
      </c>
    </row>
    <row r="612" spans="3:3" x14ac:dyDescent="0.25">
      <c r="C612" s="19" t="str">
        <v>FGDP$Q.IUSA_DMNAS</v>
      </c>
    </row>
    <row r="613" spans="3:3" x14ac:dyDescent="0.25">
      <c r="C613" s="19" t="str">
        <v>FHPNR.IUSA_DMNAS</v>
      </c>
    </row>
    <row r="614" spans="3:3" x14ac:dyDescent="0.25">
      <c r="C614" s="19" t="str">
        <v>FHPNM.IUSA_DMNAS</v>
      </c>
    </row>
    <row r="615" spans="3:3" x14ac:dyDescent="0.25">
      <c r="C615" s="19" t="str">
        <v>FHX1.IUSA_DMNAS</v>
      </c>
    </row>
    <row r="616" spans="3:3" x14ac:dyDescent="0.25">
      <c r="C616" s="19" t="str">
        <v>FHX1MED.IUSA_DMNAS</v>
      </c>
    </row>
    <row r="617" spans="3:3" x14ac:dyDescent="0.25">
      <c r="C617" s="19" t="str">
        <v/>
      </c>
    </row>
    <row r="618" spans="3:3" x14ac:dyDescent="0.25">
      <c r="C618" s="19" t="str">
        <v/>
      </c>
    </row>
    <row r="619" spans="3:3" x14ac:dyDescent="0.25">
      <c r="C619" s="19" t="str">
        <v/>
      </c>
    </row>
    <row r="620" spans="3:3" x14ac:dyDescent="0.25">
      <c r="C620" s="19" t="str">
        <v/>
      </c>
    </row>
    <row r="621" spans="3:3" x14ac:dyDescent="0.25">
      <c r="C621" s="19" t="str">
        <v/>
      </c>
    </row>
    <row r="622" spans="3:3" x14ac:dyDescent="0.25">
      <c r="C622" s="19" t="str">
        <v/>
      </c>
    </row>
    <row r="623" spans="3:3" x14ac:dyDescent="0.25">
      <c r="C623" s="19" t="str">
        <v/>
      </c>
    </row>
    <row r="624" spans="3:3" x14ac:dyDescent="0.25">
      <c r="C624" s="19" t="str">
        <v/>
      </c>
    </row>
    <row r="625" spans="3:3" x14ac:dyDescent="0.25">
      <c r="C625" s="19" t="str">
        <v/>
      </c>
    </row>
    <row r="626" spans="3:3" x14ac:dyDescent="0.25">
      <c r="C626" s="19" t="str">
        <v/>
      </c>
    </row>
    <row r="627" spans="3:3" x14ac:dyDescent="0.25">
      <c r="C627" s="19" t="str">
        <v/>
      </c>
    </row>
    <row r="628" spans="3:3" x14ac:dyDescent="0.25">
      <c r="C628" s="19" t="str">
        <v/>
      </c>
    </row>
    <row r="629" spans="3:3" x14ac:dyDescent="0.25">
      <c r="C629" s="19" t="str">
        <v/>
      </c>
    </row>
    <row r="630" spans="3:3" x14ac:dyDescent="0.25">
      <c r="C630" s="19" t="str">
        <v/>
      </c>
    </row>
    <row r="631" spans="3:3" x14ac:dyDescent="0.25">
      <c r="C631" s="19" t="str">
        <v/>
      </c>
    </row>
    <row r="632" spans="3:3" x14ac:dyDescent="0.25">
      <c r="C632" s="19" t="str">
        <v/>
      </c>
    </row>
    <row r="633" spans="3:3" x14ac:dyDescent="0.25">
      <c r="C633" s="19" t="str">
        <v/>
      </c>
    </row>
    <row r="634" spans="3:3" x14ac:dyDescent="0.25">
      <c r="C634" s="19" t="str">
        <v/>
      </c>
    </row>
    <row r="635" spans="3:3" x14ac:dyDescent="0.25">
      <c r="C635" s="19" t="str">
        <v/>
      </c>
    </row>
    <row r="636" spans="3:3" x14ac:dyDescent="0.25">
      <c r="C636" s="19" t="str">
        <v/>
      </c>
    </row>
    <row r="637" spans="3:3" x14ac:dyDescent="0.25">
      <c r="C637" s="19" t="str">
        <v/>
      </c>
    </row>
    <row r="638" spans="3:3" x14ac:dyDescent="0.25">
      <c r="C638" s="19" t="str">
        <v/>
      </c>
    </row>
    <row r="639" spans="3:3" x14ac:dyDescent="0.25">
      <c r="C639" s="19" t="str">
        <v/>
      </c>
    </row>
    <row r="640" spans="3:3" x14ac:dyDescent="0.25">
      <c r="C640" s="19" t="str">
        <v/>
      </c>
    </row>
    <row r="641" spans="3:3" x14ac:dyDescent="0.25">
      <c r="C641" s="19" t="str">
        <v/>
      </c>
    </row>
    <row r="642" spans="3:3" x14ac:dyDescent="0.25">
      <c r="C642" s="19" t="str">
        <v/>
      </c>
    </row>
    <row r="643" spans="3:3" x14ac:dyDescent="0.25">
      <c r="C643" s="19" t="str">
        <v/>
      </c>
    </row>
    <row r="644" spans="3:3" x14ac:dyDescent="0.25">
      <c r="C644" s="19" t="str">
        <v/>
      </c>
    </row>
    <row r="645" spans="3:3" x14ac:dyDescent="0.25">
      <c r="C645" s="19" t="str">
        <v/>
      </c>
    </row>
    <row r="646" spans="3:3" x14ac:dyDescent="0.25">
      <c r="C646" s="19" t="str">
        <v/>
      </c>
    </row>
    <row r="647" spans="3:3" x14ac:dyDescent="0.25">
      <c r="C647" s="19" t="str">
        <v/>
      </c>
    </row>
    <row r="648" spans="3:3" x14ac:dyDescent="0.25">
      <c r="C648" s="19" t="str">
        <v/>
      </c>
    </row>
    <row r="649" spans="3:3" x14ac:dyDescent="0.25">
      <c r="C649" s="19" t="str">
        <v/>
      </c>
    </row>
    <row r="650" spans="3:3" x14ac:dyDescent="0.25">
      <c r="C650" s="19" t="str">
        <v/>
      </c>
    </row>
    <row r="651" spans="3:3" x14ac:dyDescent="0.25">
      <c r="C651" s="19" t="str">
        <v/>
      </c>
    </row>
    <row r="652" spans="3:3" x14ac:dyDescent="0.25">
      <c r="C652" s="19" t="str">
        <v/>
      </c>
    </row>
    <row r="653" spans="3:3" x14ac:dyDescent="0.25">
      <c r="C653" s="19" t="str">
        <v/>
      </c>
    </row>
    <row r="654" spans="3:3" x14ac:dyDescent="0.25">
      <c r="C654" s="19" t="str">
        <v>FHHOLDQ.IUSA_MWAA</v>
      </c>
    </row>
    <row r="655" spans="3:3" x14ac:dyDescent="0.25">
      <c r="C655" s="19" t="str">
        <v>FPOP2024Q.IUSA_MWAA</v>
      </c>
    </row>
    <row r="656" spans="3:3" x14ac:dyDescent="0.25">
      <c r="C656" s="19" t="str">
        <v>FPOP2529Q.IUSA_MWAA</v>
      </c>
    </row>
    <row r="657" spans="3:3" x14ac:dyDescent="0.25">
      <c r="C657" s="19" t="str">
        <v>FPOP3034Q.IUSA_MWAA</v>
      </c>
    </row>
    <row r="658" spans="3:3" x14ac:dyDescent="0.25">
      <c r="C658" s="19" t="str">
        <v>FPOPQ.IUSA_MWAA</v>
      </c>
    </row>
    <row r="659" spans="3:3" x14ac:dyDescent="0.25">
      <c r="C659" s="19" t="str">
        <v>FYHHMEDQ.IUSA_MWAA</v>
      </c>
    </row>
    <row r="660" spans="3:3" x14ac:dyDescent="0.25">
      <c r="C660" s="19" t="str">
        <v>FET.IUSA_MWAA</v>
      </c>
    </row>
    <row r="661" spans="3:3" x14ac:dyDescent="0.25">
      <c r="C661" s="19" t="str">
        <v>FCPIU.IUSA_MWAA</v>
      </c>
    </row>
    <row r="662" spans="3:3" x14ac:dyDescent="0.25">
      <c r="C662" s="19" t="str">
        <v>FGDP$Q.IUSA_MWAA</v>
      </c>
    </row>
    <row r="663" spans="3:3" x14ac:dyDescent="0.25">
      <c r="C663" s="19" t="str">
        <v>FHPNR.IUSA_MWAA</v>
      </c>
    </row>
    <row r="664" spans="3:3" x14ac:dyDescent="0.25">
      <c r="C664" s="19" t="str">
        <v>FHPNM.IUSA_MWAA</v>
      </c>
    </row>
    <row r="665" spans="3:3" x14ac:dyDescent="0.25">
      <c r="C665" s="19" t="str">
        <v>FHX1.IUSA_MWAA</v>
      </c>
    </row>
    <row r="666" spans="3:3" x14ac:dyDescent="0.25">
      <c r="C666" s="19" t="str">
        <v>FHX1MED.IUSA_MWAA</v>
      </c>
    </row>
    <row r="667" spans="3:3" x14ac:dyDescent="0.25">
      <c r="C667" s="19" t="str">
        <v/>
      </c>
    </row>
    <row r="668" spans="3:3" x14ac:dyDescent="0.25">
      <c r="C668" s="19" t="str">
        <v/>
      </c>
    </row>
    <row r="669" spans="3:3" x14ac:dyDescent="0.25">
      <c r="C669" s="19" t="str">
        <v/>
      </c>
    </row>
    <row r="670" spans="3:3" x14ac:dyDescent="0.25">
      <c r="C670" s="19" t="str">
        <v/>
      </c>
    </row>
    <row r="671" spans="3:3" x14ac:dyDescent="0.25">
      <c r="C671" s="19" t="str">
        <v/>
      </c>
    </row>
    <row r="672" spans="3:3" x14ac:dyDescent="0.25">
      <c r="C672" s="19" t="str">
        <v/>
      </c>
    </row>
    <row r="673" spans="3:3" x14ac:dyDescent="0.25">
      <c r="C673" s="19" t="str">
        <v/>
      </c>
    </row>
    <row r="674" spans="3:3" x14ac:dyDescent="0.25">
      <c r="C674" s="19" t="str">
        <v/>
      </c>
    </row>
    <row r="675" spans="3:3" x14ac:dyDescent="0.25">
      <c r="C675" s="19" t="str">
        <v/>
      </c>
    </row>
    <row r="676" spans="3:3" x14ac:dyDescent="0.25">
      <c r="C676" s="19" t="str">
        <v/>
      </c>
    </row>
    <row r="677" spans="3:3" x14ac:dyDescent="0.25">
      <c r="C677" s="19" t="str">
        <v/>
      </c>
    </row>
    <row r="678" spans="3:3" x14ac:dyDescent="0.25">
      <c r="C678" s="19" t="str">
        <v/>
      </c>
    </row>
    <row r="679" spans="3:3" x14ac:dyDescent="0.25">
      <c r="C679" s="19" t="str">
        <v/>
      </c>
    </row>
    <row r="680" spans="3:3" x14ac:dyDescent="0.25">
      <c r="C680" s="19" t="str">
        <v/>
      </c>
    </row>
    <row r="681" spans="3:3" x14ac:dyDescent="0.25">
      <c r="C681" s="19" t="str">
        <v/>
      </c>
    </row>
    <row r="682" spans="3:3" x14ac:dyDescent="0.25">
      <c r="C682" s="19" t="str">
        <v/>
      </c>
    </row>
    <row r="683" spans="3:3" x14ac:dyDescent="0.25">
      <c r="C683" s="19" t="str">
        <v/>
      </c>
    </row>
    <row r="684" spans="3:3" x14ac:dyDescent="0.25">
      <c r="C684" s="19" t="str">
        <v/>
      </c>
    </row>
    <row r="685" spans="3:3" x14ac:dyDescent="0.25">
      <c r="C685" s="19" t="str">
        <v/>
      </c>
    </row>
    <row r="686" spans="3:3" x14ac:dyDescent="0.25">
      <c r="C686" s="19" t="str">
        <v/>
      </c>
    </row>
    <row r="687" spans="3:3" x14ac:dyDescent="0.25">
      <c r="C687" s="19" t="str">
        <v/>
      </c>
    </row>
    <row r="688" spans="3:3" x14ac:dyDescent="0.25">
      <c r="C688" s="19" t="str">
        <v/>
      </c>
    </row>
    <row r="689" spans="3:3" x14ac:dyDescent="0.25">
      <c r="C689" s="19" t="str">
        <v/>
      </c>
    </row>
    <row r="690" spans="3:3" x14ac:dyDescent="0.25">
      <c r="C690" s="19" t="str">
        <v/>
      </c>
    </row>
    <row r="691" spans="3:3" x14ac:dyDescent="0.25">
      <c r="C691" s="19" t="str">
        <v/>
      </c>
    </row>
    <row r="692" spans="3:3" x14ac:dyDescent="0.25">
      <c r="C692" s="19" t="str">
        <v/>
      </c>
    </row>
    <row r="693" spans="3:3" x14ac:dyDescent="0.25">
      <c r="C693" s="19" t="str">
        <v/>
      </c>
    </row>
    <row r="694" spans="3:3" x14ac:dyDescent="0.25">
      <c r="C694" s="19" t="str">
        <v/>
      </c>
    </row>
    <row r="695" spans="3:3" x14ac:dyDescent="0.25">
      <c r="C695" s="19" t="str">
        <v/>
      </c>
    </row>
    <row r="696" spans="3:3" x14ac:dyDescent="0.25">
      <c r="C696" s="19" t="str">
        <v/>
      </c>
    </row>
    <row r="697" spans="3:3" x14ac:dyDescent="0.25">
      <c r="C697" s="19" t="str">
        <v/>
      </c>
    </row>
    <row r="698" spans="3:3" x14ac:dyDescent="0.25">
      <c r="C698" s="19" t="str">
        <v/>
      </c>
    </row>
    <row r="699" spans="3:3" x14ac:dyDescent="0.25">
      <c r="C699" s="19" t="str">
        <v/>
      </c>
    </row>
    <row r="700" spans="3:3" x14ac:dyDescent="0.25">
      <c r="C700" s="19" t="str">
        <v/>
      </c>
    </row>
    <row r="701" spans="3:3" x14ac:dyDescent="0.25">
      <c r="C701" s="19" t="str">
        <v/>
      </c>
    </row>
    <row r="702" spans="3:3" x14ac:dyDescent="0.25">
      <c r="C702" s="19" t="str">
        <v/>
      </c>
    </row>
    <row r="703" spans="3:3" x14ac:dyDescent="0.25">
      <c r="C703" s="19" t="str">
        <v/>
      </c>
    </row>
    <row r="704" spans="3:3" x14ac:dyDescent="0.25">
      <c r="C704" s="19" t="str">
        <v>FHHOLDQ.IUSA_MATS</v>
      </c>
    </row>
    <row r="705" spans="3:3" x14ac:dyDescent="0.25">
      <c r="C705" s="19" t="str">
        <v>FPOP2024Q.IUSA_MATS</v>
      </c>
    </row>
    <row r="706" spans="3:3" x14ac:dyDescent="0.25">
      <c r="C706" s="19" t="str">
        <v>FPOP2529Q.IUSA_MATS</v>
      </c>
    </row>
    <row r="707" spans="3:3" x14ac:dyDescent="0.25">
      <c r="C707" s="19" t="str">
        <v>FPOP3034Q.IUSA_MATS</v>
      </c>
    </row>
    <row r="708" spans="3:3" x14ac:dyDescent="0.25">
      <c r="C708" s="19" t="str">
        <v>FPOPQ.IUSA_MATS</v>
      </c>
    </row>
    <row r="709" spans="3:3" x14ac:dyDescent="0.25">
      <c r="C709" s="19" t="str">
        <v>FYHHMEDQ.IUSA_MATS</v>
      </c>
    </row>
    <row r="710" spans="3:3" x14ac:dyDescent="0.25">
      <c r="C710" s="19" t="str">
        <v>FET.IUSA_MATS</v>
      </c>
    </row>
    <row r="711" spans="3:3" x14ac:dyDescent="0.25">
      <c r="C711" s="19" t="str">
        <v>FCPIU.IUSA_MATS</v>
      </c>
    </row>
    <row r="712" spans="3:3" x14ac:dyDescent="0.25">
      <c r="C712" s="19" t="str">
        <v>FGDP$Q.IUSA_MATS</v>
      </c>
    </row>
    <row r="713" spans="3:3" x14ac:dyDescent="0.25">
      <c r="C713" s="19" t="str">
        <v>FHPNR.IUSA_MATS</v>
      </c>
    </row>
    <row r="714" spans="3:3" x14ac:dyDescent="0.25">
      <c r="C714" s="19" t="str">
        <v>FHPNM.IUSA_MATS</v>
      </c>
    </row>
    <row r="715" spans="3:3" x14ac:dyDescent="0.25">
      <c r="C715" s="19" t="str">
        <v>FHX1.IUSA_MATS</v>
      </c>
    </row>
    <row r="716" spans="3:3" x14ac:dyDescent="0.25">
      <c r="C716" s="19" t="str">
        <v>FHX1MED.IUSA_MATS</v>
      </c>
    </row>
    <row r="717" spans="3:3" x14ac:dyDescent="0.25">
      <c r="C717" s="19" t="str">
        <v/>
      </c>
    </row>
    <row r="718" spans="3:3" x14ac:dyDescent="0.25">
      <c r="C718" s="19" t="str">
        <v/>
      </c>
    </row>
    <row r="719" spans="3:3" x14ac:dyDescent="0.25">
      <c r="C719" s="19" t="str">
        <v/>
      </c>
    </row>
    <row r="720" spans="3:3" x14ac:dyDescent="0.25">
      <c r="C720" s="19" t="str">
        <v/>
      </c>
    </row>
    <row r="721" spans="3:3" x14ac:dyDescent="0.25">
      <c r="C721" s="19" t="str">
        <v/>
      </c>
    </row>
    <row r="722" spans="3:3" x14ac:dyDescent="0.25">
      <c r="C722" s="19" t="str">
        <v/>
      </c>
    </row>
    <row r="723" spans="3:3" x14ac:dyDescent="0.25">
      <c r="C723" s="19" t="str">
        <v/>
      </c>
    </row>
    <row r="724" spans="3:3" x14ac:dyDescent="0.25">
      <c r="C724" s="19" t="str">
        <v/>
      </c>
    </row>
    <row r="725" spans="3:3" x14ac:dyDescent="0.25">
      <c r="C725" s="19" t="str">
        <v/>
      </c>
    </row>
    <row r="726" spans="3:3" x14ac:dyDescent="0.25">
      <c r="C726" s="19" t="str">
        <v/>
      </c>
    </row>
    <row r="727" spans="3:3" x14ac:dyDescent="0.25">
      <c r="C727" s="19" t="str">
        <v/>
      </c>
    </row>
    <row r="728" spans="3:3" x14ac:dyDescent="0.25">
      <c r="C728" s="19" t="str">
        <v/>
      </c>
    </row>
    <row r="729" spans="3:3" x14ac:dyDescent="0.25">
      <c r="C729" s="19" t="str">
        <v/>
      </c>
    </row>
    <row r="730" spans="3:3" x14ac:dyDescent="0.25">
      <c r="C730" s="19" t="str">
        <v/>
      </c>
    </row>
    <row r="731" spans="3:3" x14ac:dyDescent="0.25">
      <c r="C731" s="19" t="str">
        <v/>
      </c>
    </row>
    <row r="732" spans="3:3" x14ac:dyDescent="0.25">
      <c r="C732" s="19" t="str">
        <v/>
      </c>
    </row>
    <row r="733" spans="3:3" x14ac:dyDescent="0.25">
      <c r="C733" s="19" t="str">
        <v/>
      </c>
    </row>
    <row r="734" spans="3:3" x14ac:dyDescent="0.25">
      <c r="C734" s="19" t="str">
        <v/>
      </c>
    </row>
    <row r="735" spans="3:3" x14ac:dyDescent="0.25">
      <c r="C735" s="19" t="str">
        <v/>
      </c>
    </row>
    <row r="736" spans="3:3" x14ac:dyDescent="0.25">
      <c r="C736" s="19" t="str">
        <v/>
      </c>
    </row>
    <row r="737" spans="3:3" x14ac:dyDescent="0.25">
      <c r="C737" s="19" t="str">
        <v/>
      </c>
    </row>
    <row r="738" spans="3:3" x14ac:dyDescent="0.25">
      <c r="C738" s="19" t="str">
        <v/>
      </c>
    </row>
    <row r="739" spans="3:3" x14ac:dyDescent="0.25">
      <c r="C739" s="19" t="str">
        <v/>
      </c>
    </row>
    <row r="740" spans="3:3" x14ac:dyDescent="0.25">
      <c r="C740" s="19" t="str">
        <v/>
      </c>
    </row>
    <row r="741" spans="3:3" x14ac:dyDescent="0.25">
      <c r="C741" s="19" t="str">
        <v/>
      </c>
    </row>
    <row r="742" spans="3:3" x14ac:dyDescent="0.25">
      <c r="C742" s="19" t="str">
        <v/>
      </c>
    </row>
    <row r="743" spans="3:3" x14ac:dyDescent="0.25">
      <c r="C743" s="19" t="str">
        <v/>
      </c>
    </row>
    <row r="744" spans="3:3" x14ac:dyDescent="0.25">
      <c r="C744" s="19" t="str">
        <v/>
      </c>
    </row>
    <row r="745" spans="3:3" x14ac:dyDescent="0.25">
      <c r="C745" s="19" t="str">
        <v/>
      </c>
    </row>
    <row r="746" spans="3:3" x14ac:dyDescent="0.25">
      <c r="C746" s="19" t="str">
        <v/>
      </c>
    </row>
    <row r="747" spans="3:3" x14ac:dyDescent="0.25">
      <c r="C747" s="19" t="str">
        <v/>
      </c>
    </row>
    <row r="748" spans="3:3" x14ac:dyDescent="0.25">
      <c r="C748" s="19" t="str">
        <v/>
      </c>
    </row>
    <row r="749" spans="3:3" x14ac:dyDescent="0.25">
      <c r="C749" s="19" t="str">
        <v/>
      </c>
    </row>
    <row r="750" spans="3:3" x14ac:dyDescent="0.25">
      <c r="C750" s="19" t="str">
        <v/>
      </c>
    </row>
    <row r="751" spans="3:3" x14ac:dyDescent="0.25">
      <c r="C751" s="19" t="str">
        <v/>
      </c>
    </row>
    <row r="752" spans="3:3" x14ac:dyDescent="0.25">
      <c r="C752" s="19" t="str">
        <v/>
      </c>
    </row>
    <row r="753" spans="3:3" x14ac:dyDescent="0.25">
      <c r="C753" s="19" t="str">
        <v/>
      </c>
    </row>
    <row r="754" spans="3:3" x14ac:dyDescent="0.25">
      <c r="C754" s="19" t="str">
        <v>FHHOLDQ.IUSA_MAUS</v>
      </c>
    </row>
    <row r="755" spans="3:3" x14ac:dyDescent="0.25">
      <c r="C755" s="19" t="str">
        <v>FPOP2024Q.IUSA_MAUS</v>
      </c>
    </row>
    <row r="756" spans="3:3" x14ac:dyDescent="0.25">
      <c r="C756" s="19" t="str">
        <v>FPOP2529Q.IUSA_MAUS</v>
      </c>
    </row>
    <row r="757" spans="3:3" x14ac:dyDescent="0.25">
      <c r="C757" s="19" t="str">
        <v>FPOP3034Q.IUSA_MAUS</v>
      </c>
    </row>
    <row r="758" spans="3:3" x14ac:dyDescent="0.25">
      <c r="C758" s="19" t="str">
        <v>FPOPQ.IUSA_MAUS</v>
      </c>
    </row>
    <row r="759" spans="3:3" x14ac:dyDescent="0.25">
      <c r="C759" s="19" t="str">
        <v>FYHHMEDQ.IUSA_MAUS</v>
      </c>
    </row>
    <row r="760" spans="3:3" x14ac:dyDescent="0.25">
      <c r="C760" s="19" t="str">
        <v>FET.IUSA_MAUS</v>
      </c>
    </row>
    <row r="761" spans="3:3" x14ac:dyDescent="0.25">
      <c r="C761" s="19" t="str">
        <v>FCPIU.IUSA_MAUS</v>
      </c>
    </row>
    <row r="762" spans="3:3" x14ac:dyDescent="0.25">
      <c r="C762" s="19" t="str">
        <v>FGDP$Q.IUSA_MAUS</v>
      </c>
    </row>
    <row r="763" spans="3:3" x14ac:dyDescent="0.25">
      <c r="C763" s="19" t="str">
        <v>FHPNR.IUSA_MAUS</v>
      </c>
    </row>
    <row r="764" spans="3:3" x14ac:dyDescent="0.25">
      <c r="C764" s="19" t="str">
        <v>FHPNM.IUSA_MAUS</v>
      </c>
    </row>
    <row r="765" spans="3:3" x14ac:dyDescent="0.25">
      <c r="C765" s="19" t="str">
        <v>FHX1.IUSA_MAUS</v>
      </c>
    </row>
    <row r="766" spans="3:3" x14ac:dyDescent="0.25">
      <c r="C766" s="19" t="str">
        <v>FHX1MED.IUSA_MAUS</v>
      </c>
    </row>
    <row r="767" spans="3:3" x14ac:dyDescent="0.25">
      <c r="C767" s="19" t="str">
        <v/>
      </c>
    </row>
    <row r="768" spans="3:3" x14ac:dyDescent="0.25">
      <c r="C768" s="19" t="str">
        <v/>
      </c>
    </row>
    <row r="769" spans="3:3" x14ac:dyDescent="0.25">
      <c r="C769" s="19" t="str">
        <v/>
      </c>
    </row>
    <row r="770" spans="3:3" x14ac:dyDescent="0.25">
      <c r="C770" s="19" t="str">
        <v/>
      </c>
    </row>
    <row r="771" spans="3:3" x14ac:dyDescent="0.25">
      <c r="C771" s="19" t="str">
        <v/>
      </c>
    </row>
    <row r="772" spans="3:3" x14ac:dyDescent="0.25">
      <c r="C772" s="19" t="str">
        <v/>
      </c>
    </row>
    <row r="773" spans="3:3" x14ac:dyDescent="0.25">
      <c r="C773" s="19" t="str">
        <v/>
      </c>
    </row>
    <row r="774" spans="3:3" x14ac:dyDescent="0.25">
      <c r="C774" s="19" t="str">
        <v/>
      </c>
    </row>
    <row r="775" spans="3:3" x14ac:dyDescent="0.25">
      <c r="C775" s="19" t="str">
        <v/>
      </c>
    </row>
    <row r="776" spans="3:3" x14ac:dyDescent="0.25">
      <c r="C776" s="19" t="str">
        <v/>
      </c>
    </row>
    <row r="777" spans="3:3" x14ac:dyDescent="0.25">
      <c r="C777" s="19" t="str">
        <v/>
      </c>
    </row>
    <row r="778" spans="3:3" x14ac:dyDescent="0.25">
      <c r="C778" s="19" t="str">
        <v/>
      </c>
    </row>
    <row r="779" spans="3:3" x14ac:dyDescent="0.25">
      <c r="C779" s="19" t="str">
        <v/>
      </c>
    </row>
    <row r="780" spans="3:3" x14ac:dyDescent="0.25">
      <c r="C780" s="19" t="str">
        <v/>
      </c>
    </row>
    <row r="781" spans="3:3" x14ac:dyDescent="0.25">
      <c r="C781" s="19" t="str">
        <v/>
      </c>
    </row>
    <row r="782" spans="3:3" x14ac:dyDescent="0.25">
      <c r="C782" s="19" t="str">
        <v/>
      </c>
    </row>
    <row r="783" spans="3:3" x14ac:dyDescent="0.25">
      <c r="C783" s="19" t="str">
        <v/>
      </c>
    </row>
    <row r="784" spans="3:3" x14ac:dyDescent="0.25">
      <c r="C784" s="19" t="str">
        <v/>
      </c>
    </row>
    <row r="785" spans="3:3" x14ac:dyDescent="0.25">
      <c r="C785" s="19" t="str">
        <v/>
      </c>
    </row>
    <row r="786" spans="3:3" x14ac:dyDescent="0.25">
      <c r="C786" s="19" t="str">
        <v/>
      </c>
    </row>
    <row r="787" spans="3:3" x14ac:dyDescent="0.25">
      <c r="C787" s="19" t="str">
        <v/>
      </c>
    </row>
    <row r="788" spans="3:3" x14ac:dyDescent="0.25">
      <c r="C788" s="19" t="str">
        <v/>
      </c>
    </row>
    <row r="789" spans="3:3" x14ac:dyDescent="0.25">
      <c r="C789" s="19" t="str">
        <v/>
      </c>
    </row>
    <row r="790" spans="3:3" x14ac:dyDescent="0.25">
      <c r="C790" s="19" t="str">
        <v/>
      </c>
    </row>
    <row r="791" spans="3:3" x14ac:dyDescent="0.25">
      <c r="C791" s="19" t="str">
        <v/>
      </c>
    </row>
    <row r="792" spans="3:3" x14ac:dyDescent="0.25">
      <c r="C792" s="19" t="str">
        <v/>
      </c>
    </row>
    <row r="793" spans="3:3" x14ac:dyDescent="0.25">
      <c r="C793" s="19" t="str">
        <v/>
      </c>
    </row>
    <row r="794" spans="3:3" x14ac:dyDescent="0.25">
      <c r="C794" s="19" t="str">
        <v/>
      </c>
    </row>
    <row r="795" spans="3:3" x14ac:dyDescent="0.25">
      <c r="C795" s="19" t="str">
        <v/>
      </c>
    </row>
    <row r="796" spans="3:3" x14ac:dyDescent="0.25">
      <c r="C796" s="19" t="str">
        <v/>
      </c>
    </row>
    <row r="797" spans="3:3" x14ac:dyDescent="0.25">
      <c r="C797" s="19" t="str">
        <v/>
      </c>
    </row>
    <row r="798" spans="3:3" x14ac:dyDescent="0.25">
      <c r="C798" s="19" t="str">
        <v/>
      </c>
    </row>
    <row r="799" spans="3:3" x14ac:dyDescent="0.25">
      <c r="C799" s="19" t="str">
        <v/>
      </c>
    </row>
    <row r="800" spans="3:3" x14ac:dyDescent="0.25">
      <c r="C800" s="19" t="str">
        <v/>
      </c>
    </row>
    <row r="801" spans="3:3" x14ac:dyDescent="0.25">
      <c r="C801" s="19" t="str">
        <v/>
      </c>
    </row>
    <row r="802" spans="3:3" x14ac:dyDescent="0.25">
      <c r="C802" s="19" t="str">
        <v/>
      </c>
    </row>
    <row r="803" spans="3:3" x14ac:dyDescent="0.25">
      <c r="C803" s="19" t="str">
        <v/>
      </c>
    </row>
    <row r="804" spans="3:3" x14ac:dyDescent="0.25">
      <c r="C804" s="19" t="str">
        <v>FHHOLDQ.IUSA_DMLNB</v>
      </c>
    </row>
    <row r="805" spans="3:3" x14ac:dyDescent="0.25">
      <c r="C805" s="19" t="str">
        <v>FPOP2024Q.IUSA_DMLNB</v>
      </c>
    </row>
    <row r="806" spans="3:3" x14ac:dyDescent="0.25">
      <c r="C806" s="19" t="str">
        <v>FPOP2529Q.IUSA_DMLNB</v>
      </c>
    </row>
    <row r="807" spans="3:3" x14ac:dyDescent="0.25">
      <c r="C807" s="19" t="str">
        <v>FPOP3034Q.IUSA_DMLNB</v>
      </c>
    </row>
    <row r="808" spans="3:3" x14ac:dyDescent="0.25">
      <c r="C808" s="19" t="str">
        <v>FPOPQ.IUSA_DMLNB</v>
      </c>
    </row>
    <row r="809" spans="3:3" x14ac:dyDescent="0.25">
      <c r="C809" s="19" t="str">
        <v>FYHHMEDQ.IUSA_DMLNB</v>
      </c>
    </row>
    <row r="810" spans="3:3" x14ac:dyDescent="0.25">
      <c r="C810" s="19" t="str">
        <v>FET.IUSA_DMLNB</v>
      </c>
    </row>
    <row r="811" spans="3:3" x14ac:dyDescent="0.25">
      <c r="C811" s="19" t="str">
        <v>FCPIU.IUSA_DMLNB</v>
      </c>
    </row>
    <row r="812" spans="3:3" x14ac:dyDescent="0.25">
      <c r="C812" s="19" t="str">
        <v>FGDP$Q.IUSA_DMLNB</v>
      </c>
    </row>
    <row r="813" spans="3:3" x14ac:dyDescent="0.25">
      <c r="C813" s="19" t="str">
        <v>FHPNR.IUSA_DMLNB</v>
      </c>
    </row>
    <row r="814" spans="3:3" x14ac:dyDescent="0.25">
      <c r="C814" s="19" t="str">
        <v>FHPNM.IUSA_DMLNB</v>
      </c>
    </row>
    <row r="815" spans="3:3" x14ac:dyDescent="0.25">
      <c r="C815" s="19" t="str">
        <v>FHX1.IUSA_DMLNB</v>
      </c>
    </row>
    <row r="816" spans="3:3" x14ac:dyDescent="0.25">
      <c r="C816" s="19" t="str">
        <v>FHX1MED.IUSA_DMLNB</v>
      </c>
    </row>
    <row r="817" spans="3:3" x14ac:dyDescent="0.25">
      <c r="C817" s="19" t="str">
        <v/>
      </c>
    </row>
    <row r="818" spans="3:3" x14ac:dyDescent="0.25">
      <c r="C818" s="19" t="str">
        <v/>
      </c>
    </row>
    <row r="819" spans="3:3" x14ac:dyDescent="0.25">
      <c r="C819" s="19" t="str">
        <v/>
      </c>
    </row>
    <row r="820" spans="3:3" x14ac:dyDescent="0.25">
      <c r="C820" s="19" t="str">
        <v/>
      </c>
    </row>
    <row r="821" spans="3:3" x14ac:dyDescent="0.25">
      <c r="C821" s="19" t="str">
        <v/>
      </c>
    </row>
    <row r="822" spans="3:3" x14ac:dyDescent="0.25">
      <c r="C822" s="19" t="str">
        <v/>
      </c>
    </row>
    <row r="823" spans="3:3" x14ac:dyDescent="0.25">
      <c r="C823" s="19" t="str">
        <v/>
      </c>
    </row>
    <row r="824" spans="3:3" x14ac:dyDescent="0.25">
      <c r="C824" s="19" t="str">
        <v/>
      </c>
    </row>
    <row r="825" spans="3:3" x14ac:dyDescent="0.25">
      <c r="C825" s="19" t="str">
        <v/>
      </c>
    </row>
    <row r="826" spans="3:3" x14ac:dyDescent="0.25">
      <c r="C826" s="19" t="str">
        <v/>
      </c>
    </row>
    <row r="827" spans="3:3" x14ac:dyDescent="0.25">
      <c r="C827" s="19" t="str">
        <v/>
      </c>
    </row>
    <row r="828" spans="3:3" x14ac:dyDescent="0.25">
      <c r="C828" s="19" t="str">
        <v/>
      </c>
    </row>
    <row r="829" spans="3:3" x14ac:dyDescent="0.25">
      <c r="C829" s="19" t="str">
        <v/>
      </c>
    </row>
    <row r="830" spans="3:3" x14ac:dyDescent="0.25">
      <c r="C830" s="19" t="str">
        <v/>
      </c>
    </row>
    <row r="831" spans="3:3" x14ac:dyDescent="0.25">
      <c r="C831" s="19" t="str">
        <v/>
      </c>
    </row>
    <row r="832" spans="3:3" x14ac:dyDescent="0.25">
      <c r="C832" s="19" t="str">
        <v/>
      </c>
    </row>
    <row r="833" spans="3:3" x14ac:dyDescent="0.25">
      <c r="C833" s="19" t="str">
        <v/>
      </c>
    </row>
    <row r="834" spans="3:3" x14ac:dyDescent="0.25">
      <c r="C834" s="19" t="str">
        <v/>
      </c>
    </row>
    <row r="835" spans="3:3" x14ac:dyDescent="0.25">
      <c r="C835" s="19" t="str">
        <v/>
      </c>
    </row>
    <row r="836" spans="3:3" x14ac:dyDescent="0.25">
      <c r="C836" s="19" t="str">
        <v/>
      </c>
    </row>
    <row r="837" spans="3:3" x14ac:dyDescent="0.25">
      <c r="C837" s="19" t="str">
        <v/>
      </c>
    </row>
    <row r="838" spans="3:3" x14ac:dyDescent="0.25">
      <c r="C838" s="19" t="str">
        <v/>
      </c>
    </row>
    <row r="839" spans="3:3" x14ac:dyDescent="0.25">
      <c r="C839" s="19" t="str">
        <v/>
      </c>
    </row>
    <row r="840" spans="3:3" x14ac:dyDescent="0.25">
      <c r="C840" s="19" t="str">
        <v/>
      </c>
    </row>
    <row r="841" spans="3:3" x14ac:dyDescent="0.25">
      <c r="C841" s="19" t="str">
        <v/>
      </c>
    </row>
    <row r="842" spans="3:3" x14ac:dyDescent="0.25">
      <c r="C842" s="19" t="str">
        <v/>
      </c>
    </row>
    <row r="843" spans="3:3" x14ac:dyDescent="0.25">
      <c r="C843" s="19" t="str">
        <v/>
      </c>
    </row>
    <row r="844" spans="3:3" x14ac:dyDescent="0.25">
      <c r="C844" s="19" t="str">
        <v/>
      </c>
    </row>
    <row r="845" spans="3:3" x14ac:dyDescent="0.25">
      <c r="C845" s="19" t="str">
        <v/>
      </c>
    </row>
    <row r="846" spans="3:3" x14ac:dyDescent="0.25">
      <c r="C846" s="19" t="str">
        <v/>
      </c>
    </row>
    <row r="847" spans="3:3" x14ac:dyDescent="0.25">
      <c r="C847" s="19" t="str">
        <v/>
      </c>
    </row>
    <row r="848" spans="3:3" x14ac:dyDescent="0.25">
      <c r="C848" s="19" t="str">
        <v/>
      </c>
    </row>
    <row r="849" spans="3:3" x14ac:dyDescent="0.25">
      <c r="C849" s="19" t="str">
        <v/>
      </c>
    </row>
    <row r="850" spans="3:3" x14ac:dyDescent="0.25">
      <c r="C850" s="19" t="str">
        <v/>
      </c>
    </row>
    <row r="851" spans="3:3" x14ac:dyDescent="0.25">
      <c r="C851" s="19" t="str">
        <v/>
      </c>
    </row>
    <row r="852" spans="3:3" x14ac:dyDescent="0.25">
      <c r="C852" s="19" t="str">
        <v/>
      </c>
    </row>
    <row r="853" spans="3:3" x14ac:dyDescent="0.25">
      <c r="C853" s="19" t="str">
        <v/>
      </c>
    </row>
    <row r="854" spans="3:3" x14ac:dyDescent="0.25">
      <c r="C854" s="19" t="str">
        <v>FHHOLDQ.IUSA_MCHS</v>
      </c>
    </row>
    <row r="855" spans="3:3" x14ac:dyDescent="0.25">
      <c r="C855" s="19" t="str">
        <v>FPOP2024Q.IUSA_MCHS</v>
      </c>
    </row>
    <row r="856" spans="3:3" x14ac:dyDescent="0.25">
      <c r="C856" s="19" t="str">
        <v>FPOP2529Q.IUSA_MCHS</v>
      </c>
    </row>
    <row r="857" spans="3:3" x14ac:dyDescent="0.25">
      <c r="C857" s="19" t="str">
        <v>FPOP3034Q.IUSA_MCHS</v>
      </c>
    </row>
    <row r="858" spans="3:3" x14ac:dyDescent="0.25">
      <c r="C858" s="19" t="str">
        <v>FPOPQ.IUSA_MCHS</v>
      </c>
    </row>
    <row r="859" spans="3:3" x14ac:dyDescent="0.25">
      <c r="C859" s="19" t="str">
        <v>FYHHMEDQ.IUSA_MCHS</v>
      </c>
    </row>
    <row r="860" spans="3:3" x14ac:dyDescent="0.25">
      <c r="C860" s="19" t="str">
        <v>FET.IUSA_MCHS</v>
      </c>
    </row>
    <row r="861" spans="3:3" x14ac:dyDescent="0.25">
      <c r="C861" s="19" t="str">
        <v>FCPIU.IUSA_MCHS</v>
      </c>
    </row>
    <row r="862" spans="3:3" x14ac:dyDescent="0.25">
      <c r="C862" s="19" t="str">
        <v>FGDP$Q.IUSA_MCHS</v>
      </c>
    </row>
    <row r="863" spans="3:3" x14ac:dyDescent="0.25">
      <c r="C863" s="19" t="str">
        <v>FHPNR.IUSA_MCHS</v>
      </c>
    </row>
    <row r="864" spans="3:3" x14ac:dyDescent="0.25">
      <c r="C864" s="19" t="str">
        <v>FHPNM.IUSA_MCHS</v>
      </c>
    </row>
    <row r="865" spans="3:3" x14ac:dyDescent="0.25">
      <c r="C865" s="19" t="str">
        <v>FHX1.IUSA_MCHS</v>
      </c>
    </row>
    <row r="866" spans="3:3" x14ac:dyDescent="0.25">
      <c r="C866" s="19" t="str">
        <v>FHX1MED.IUSA_MCHS</v>
      </c>
    </row>
    <row r="867" spans="3:3" x14ac:dyDescent="0.25">
      <c r="C867" s="19" t="str">
        <v/>
      </c>
    </row>
    <row r="868" spans="3:3" x14ac:dyDescent="0.25">
      <c r="C868" s="19" t="str">
        <v/>
      </c>
    </row>
    <row r="869" spans="3:3" x14ac:dyDescent="0.25">
      <c r="C869" s="19" t="str">
        <v/>
      </c>
    </row>
    <row r="870" spans="3:3" x14ac:dyDescent="0.25">
      <c r="C870" s="19" t="str">
        <v/>
      </c>
    </row>
    <row r="871" spans="3:3" x14ac:dyDescent="0.25">
      <c r="C871" s="19" t="str">
        <v/>
      </c>
    </row>
    <row r="872" spans="3:3" x14ac:dyDescent="0.25">
      <c r="C872" s="19" t="str">
        <v/>
      </c>
    </row>
    <row r="873" spans="3:3" x14ac:dyDescent="0.25">
      <c r="C873" s="19" t="str">
        <v/>
      </c>
    </row>
    <row r="874" spans="3:3" x14ac:dyDescent="0.25">
      <c r="C874" s="19" t="str">
        <v/>
      </c>
    </row>
    <row r="875" spans="3:3" x14ac:dyDescent="0.25">
      <c r="C875" s="19" t="str">
        <v/>
      </c>
    </row>
    <row r="876" spans="3:3" x14ac:dyDescent="0.25">
      <c r="C876" s="19" t="str">
        <v/>
      </c>
    </row>
    <row r="877" spans="3:3" x14ac:dyDescent="0.25">
      <c r="C877" s="19" t="str">
        <v/>
      </c>
    </row>
    <row r="878" spans="3:3" x14ac:dyDescent="0.25">
      <c r="C878" s="19" t="str">
        <v/>
      </c>
    </row>
    <row r="879" spans="3:3" x14ac:dyDescent="0.25">
      <c r="C879" s="19" t="str">
        <v/>
      </c>
    </row>
    <row r="880" spans="3:3" x14ac:dyDescent="0.25">
      <c r="C880" s="19" t="str">
        <v/>
      </c>
    </row>
    <row r="881" spans="3:3" x14ac:dyDescent="0.25">
      <c r="C881" s="19" t="str">
        <v/>
      </c>
    </row>
    <row r="882" spans="3:3" x14ac:dyDescent="0.25">
      <c r="C882" s="19" t="str">
        <v/>
      </c>
    </row>
    <row r="883" spans="3:3" x14ac:dyDescent="0.25">
      <c r="C883" s="19" t="str">
        <v/>
      </c>
    </row>
    <row r="884" spans="3:3" x14ac:dyDescent="0.25">
      <c r="C884" s="19" t="str">
        <v/>
      </c>
    </row>
    <row r="885" spans="3:3" x14ac:dyDescent="0.25">
      <c r="C885" s="19" t="str">
        <v/>
      </c>
    </row>
    <row r="886" spans="3:3" x14ac:dyDescent="0.25">
      <c r="C886" s="19" t="str">
        <v/>
      </c>
    </row>
    <row r="887" spans="3:3" x14ac:dyDescent="0.25">
      <c r="C887" s="19" t="str">
        <v/>
      </c>
    </row>
    <row r="888" spans="3:3" x14ac:dyDescent="0.25">
      <c r="C888" s="19" t="str">
        <v/>
      </c>
    </row>
    <row r="889" spans="3:3" x14ac:dyDescent="0.25">
      <c r="C889" s="19" t="str">
        <v/>
      </c>
    </row>
    <row r="890" spans="3:3" x14ac:dyDescent="0.25">
      <c r="C890" s="19" t="str">
        <v/>
      </c>
    </row>
    <row r="891" spans="3:3" x14ac:dyDescent="0.25">
      <c r="C891" s="19" t="str">
        <v/>
      </c>
    </row>
    <row r="892" spans="3:3" x14ac:dyDescent="0.25">
      <c r="C892" s="19" t="str">
        <v/>
      </c>
    </row>
    <row r="893" spans="3:3" x14ac:dyDescent="0.25">
      <c r="C893" s="19" t="str">
        <v/>
      </c>
    </row>
    <row r="894" spans="3:3" x14ac:dyDescent="0.25">
      <c r="C894" s="19" t="str">
        <v/>
      </c>
    </row>
    <row r="895" spans="3:3" x14ac:dyDescent="0.25">
      <c r="C895" s="19" t="str">
        <v/>
      </c>
    </row>
    <row r="896" spans="3:3" x14ac:dyDescent="0.25">
      <c r="C896" s="19" t="str">
        <v/>
      </c>
    </row>
    <row r="897" spans="3:3" x14ac:dyDescent="0.25">
      <c r="C897" s="19" t="str">
        <v/>
      </c>
    </row>
    <row r="898" spans="3:3" x14ac:dyDescent="0.25">
      <c r="C898" s="19" t="str">
        <v/>
      </c>
    </row>
    <row r="899" spans="3:3" x14ac:dyDescent="0.25">
      <c r="C899" s="19" t="str">
        <v/>
      </c>
    </row>
    <row r="900" spans="3:3" x14ac:dyDescent="0.25">
      <c r="C900" s="19" t="str">
        <v/>
      </c>
    </row>
    <row r="901" spans="3:3" x14ac:dyDescent="0.25">
      <c r="C901" s="19" t="str">
        <v/>
      </c>
    </row>
    <row r="902" spans="3:3" x14ac:dyDescent="0.25">
      <c r="C902" s="19" t="str">
        <v/>
      </c>
    </row>
    <row r="903" spans="3:3" x14ac:dyDescent="0.25">
      <c r="C903" s="19" t="str">
        <v/>
      </c>
    </row>
    <row r="904" spans="3:3" x14ac:dyDescent="0.25">
      <c r="C904" s="19" t="str">
        <v>FHHOLDQ.IUSA_MCLT</v>
      </c>
    </row>
    <row r="905" spans="3:3" x14ac:dyDescent="0.25">
      <c r="C905" s="19" t="str">
        <v>FPOP2024Q.IUSA_MCLT</v>
      </c>
    </row>
    <row r="906" spans="3:3" x14ac:dyDescent="0.25">
      <c r="C906" s="19" t="str">
        <v>FPOP2529Q.IUSA_MCLT</v>
      </c>
    </row>
    <row r="907" spans="3:3" x14ac:dyDescent="0.25">
      <c r="C907" s="19" t="str">
        <v>FPOP3034Q.IUSA_MCLT</v>
      </c>
    </row>
    <row r="908" spans="3:3" x14ac:dyDescent="0.25">
      <c r="C908" s="19" t="str">
        <v>FPOPQ.IUSA_MCLT</v>
      </c>
    </row>
    <row r="909" spans="3:3" x14ac:dyDescent="0.25">
      <c r="C909" s="19" t="str">
        <v>FYHHMEDQ.IUSA_MCLT</v>
      </c>
    </row>
    <row r="910" spans="3:3" x14ac:dyDescent="0.25">
      <c r="C910" s="19" t="str">
        <v>FET.IUSA_MCLT</v>
      </c>
    </row>
    <row r="911" spans="3:3" x14ac:dyDescent="0.25">
      <c r="C911" s="19" t="str">
        <v>FCPIU.IUSA_MCLT</v>
      </c>
    </row>
    <row r="912" spans="3:3" x14ac:dyDescent="0.25">
      <c r="C912" s="19" t="str">
        <v>FGDP$Q.IUSA_MCLT</v>
      </c>
    </row>
    <row r="913" spans="3:3" x14ac:dyDescent="0.25">
      <c r="C913" s="19" t="str">
        <v>FHPNR.IUSA_MCLT</v>
      </c>
    </row>
    <row r="914" spans="3:3" x14ac:dyDescent="0.25">
      <c r="C914" s="19" t="str">
        <v>FHPNM.IUSA_MCLT</v>
      </c>
    </row>
    <row r="915" spans="3:3" x14ac:dyDescent="0.25">
      <c r="C915" s="19" t="str">
        <v>FHX1.IUSA_MCLT</v>
      </c>
    </row>
    <row r="916" spans="3:3" x14ac:dyDescent="0.25">
      <c r="C916" s="19" t="str">
        <v>FHX1MED.IUSA_MCLT</v>
      </c>
    </row>
    <row r="917" spans="3:3" x14ac:dyDescent="0.25">
      <c r="C917" s="19" t="str">
        <v/>
      </c>
    </row>
    <row r="918" spans="3:3" x14ac:dyDescent="0.25">
      <c r="C918" s="19" t="str">
        <v/>
      </c>
    </row>
    <row r="919" spans="3:3" x14ac:dyDescent="0.25">
      <c r="C919" s="19" t="str">
        <v/>
      </c>
    </row>
    <row r="920" spans="3:3" x14ac:dyDescent="0.25">
      <c r="C920" s="19" t="str">
        <v/>
      </c>
    </row>
    <row r="921" spans="3:3" x14ac:dyDescent="0.25">
      <c r="C921" s="19" t="str">
        <v/>
      </c>
    </row>
    <row r="922" spans="3:3" x14ac:dyDescent="0.25">
      <c r="C922" s="19" t="str">
        <v/>
      </c>
    </row>
    <row r="923" spans="3:3" x14ac:dyDescent="0.25">
      <c r="C923" s="19" t="str">
        <v/>
      </c>
    </row>
    <row r="924" spans="3:3" x14ac:dyDescent="0.25">
      <c r="C924" s="19" t="str">
        <v/>
      </c>
    </row>
    <row r="925" spans="3:3" x14ac:dyDescent="0.25">
      <c r="C925" s="19" t="str">
        <v/>
      </c>
    </row>
    <row r="926" spans="3:3" x14ac:dyDescent="0.25">
      <c r="C926" s="19" t="str">
        <v/>
      </c>
    </row>
    <row r="927" spans="3:3" x14ac:dyDescent="0.25">
      <c r="C927" s="19" t="str">
        <v/>
      </c>
    </row>
    <row r="928" spans="3:3" x14ac:dyDescent="0.25">
      <c r="C928" s="19" t="str">
        <v/>
      </c>
    </row>
    <row r="929" spans="3:3" x14ac:dyDescent="0.25">
      <c r="C929" s="19" t="str">
        <v/>
      </c>
    </row>
    <row r="930" spans="3:3" x14ac:dyDescent="0.25">
      <c r="C930" s="19" t="str">
        <v/>
      </c>
    </row>
    <row r="931" spans="3:3" x14ac:dyDescent="0.25">
      <c r="C931" s="19" t="str">
        <v/>
      </c>
    </row>
    <row r="932" spans="3:3" x14ac:dyDescent="0.25">
      <c r="C932" s="19" t="str">
        <v/>
      </c>
    </row>
    <row r="933" spans="3:3" x14ac:dyDescent="0.25">
      <c r="C933" s="19" t="str">
        <v/>
      </c>
    </row>
    <row r="934" spans="3:3" x14ac:dyDescent="0.25">
      <c r="C934" s="19" t="str">
        <v/>
      </c>
    </row>
    <row r="935" spans="3:3" x14ac:dyDescent="0.25">
      <c r="C935" s="19" t="str">
        <v/>
      </c>
    </row>
    <row r="936" spans="3:3" x14ac:dyDescent="0.25">
      <c r="C936" s="19" t="str">
        <v/>
      </c>
    </row>
    <row r="937" spans="3:3" x14ac:dyDescent="0.25">
      <c r="C937" s="19" t="str">
        <v/>
      </c>
    </row>
    <row r="938" spans="3:3" x14ac:dyDescent="0.25">
      <c r="C938" s="19" t="str">
        <v/>
      </c>
    </row>
    <row r="939" spans="3:3" x14ac:dyDescent="0.25">
      <c r="C939" s="19" t="str">
        <v/>
      </c>
    </row>
    <row r="940" spans="3:3" x14ac:dyDescent="0.25">
      <c r="C940" s="19" t="str">
        <v/>
      </c>
    </row>
    <row r="941" spans="3:3" x14ac:dyDescent="0.25">
      <c r="C941" s="19" t="str">
        <v/>
      </c>
    </row>
    <row r="942" spans="3:3" x14ac:dyDescent="0.25">
      <c r="C942" s="19" t="str">
        <v/>
      </c>
    </row>
    <row r="943" spans="3:3" x14ac:dyDescent="0.25">
      <c r="C943" s="19" t="str">
        <v/>
      </c>
    </row>
    <row r="944" spans="3:3" x14ac:dyDescent="0.25">
      <c r="C944" s="19" t="str">
        <v/>
      </c>
    </row>
    <row r="945" spans="3:3" x14ac:dyDescent="0.25">
      <c r="C945" s="19" t="str">
        <v/>
      </c>
    </row>
    <row r="946" spans="3:3" x14ac:dyDescent="0.25">
      <c r="C946" s="19" t="str">
        <v/>
      </c>
    </row>
    <row r="947" spans="3:3" x14ac:dyDescent="0.25">
      <c r="C947" s="19" t="str">
        <v/>
      </c>
    </row>
    <row r="948" spans="3:3" x14ac:dyDescent="0.25">
      <c r="C948" s="19" t="str">
        <v/>
      </c>
    </row>
    <row r="949" spans="3:3" x14ac:dyDescent="0.25">
      <c r="C949" s="19" t="str">
        <v/>
      </c>
    </row>
    <row r="950" spans="3:3" x14ac:dyDescent="0.25">
      <c r="C950" s="19" t="str">
        <v/>
      </c>
    </row>
    <row r="951" spans="3:3" x14ac:dyDescent="0.25">
      <c r="C951" s="19" t="str">
        <v/>
      </c>
    </row>
    <row r="952" spans="3:3" x14ac:dyDescent="0.25">
      <c r="C952" s="19" t="str">
        <v/>
      </c>
    </row>
    <row r="953" spans="3:3" x14ac:dyDescent="0.25">
      <c r="C953" s="19" t="str">
        <v/>
      </c>
    </row>
    <row r="954" spans="3:3" x14ac:dyDescent="0.25">
      <c r="C954" s="19" t="str">
        <v>FHHOLDQ.IUSA_DMDAL</v>
      </c>
    </row>
    <row r="955" spans="3:3" x14ac:dyDescent="0.25">
      <c r="C955" s="19" t="str">
        <v>FPOP2024Q.IUSA_DMDAL</v>
      </c>
    </row>
    <row r="956" spans="3:3" x14ac:dyDescent="0.25">
      <c r="C956" s="19" t="str">
        <v>FPOP2529Q.IUSA_DMDAL</v>
      </c>
    </row>
    <row r="957" spans="3:3" x14ac:dyDescent="0.25">
      <c r="C957" s="19" t="str">
        <v>FPOP3034Q.IUSA_DMDAL</v>
      </c>
    </row>
    <row r="958" spans="3:3" x14ac:dyDescent="0.25">
      <c r="C958" s="19" t="str">
        <v>FPOPQ.IUSA_DMDAL</v>
      </c>
    </row>
    <row r="959" spans="3:3" x14ac:dyDescent="0.25">
      <c r="C959" s="19" t="str">
        <v>FYHHMEDQ.IUSA_DMDAL</v>
      </c>
    </row>
    <row r="960" spans="3:3" x14ac:dyDescent="0.25">
      <c r="C960" s="19" t="str">
        <v>FET.IUSA_DMDAL</v>
      </c>
    </row>
    <row r="961" spans="3:3" x14ac:dyDescent="0.25">
      <c r="C961" s="19" t="str">
        <v>FCPIU.IUSA_DMDAL</v>
      </c>
    </row>
    <row r="962" spans="3:3" x14ac:dyDescent="0.25">
      <c r="C962" s="19" t="str">
        <v>FGDP$Q.IUSA_DMDAL</v>
      </c>
    </row>
    <row r="963" spans="3:3" x14ac:dyDescent="0.25">
      <c r="C963" s="19" t="str">
        <v>FHPNR.IUSA_DMDAL</v>
      </c>
    </row>
    <row r="964" spans="3:3" x14ac:dyDescent="0.25">
      <c r="C964" s="19" t="str">
        <v>FHPNM.IUSA_DMDAL</v>
      </c>
    </row>
    <row r="965" spans="3:3" x14ac:dyDescent="0.25">
      <c r="C965" s="19" t="str">
        <v>FHX1.IUSA_DMDAL</v>
      </c>
    </row>
    <row r="966" spans="3:3" x14ac:dyDescent="0.25">
      <c r="C966" s="19" t="str">
        <v>FHX1MED.IUSA_DMDAL</v>
      </c>
    </row>
    <row r="967" spans="3:3" x14ac:dyDescent="0.25">
      <c r="C967" s="19" t="str">
        <v/>
      </c>
    </row>
    <row r="968" spans="3:3" x14ac:dyDescent="0.25">
      <c r="C968" s="19" t="str">
        <v/>
      </c>
    </row>
    <row r="969" spans="3:3" x14ac:dyDescent="0.25">
      <c r="C969" s="19" t="str">
        <v/>
      </c>
    </row>
    <row r="970" spans="3:3" x14ac:dyDescent="0.25">
      <c r="C970" s="19" t="str">
        <v/>
      </c>
    </row>
    <row r="971" spans="3:3" x14ac:dyDescent="0.25">
      <c r="C971" s="19" t="str">
        <v/>
      </c>
    </row>
    <row r="972" spans="3:3" x14ac:dyDescent="0.25">
      <c r="C972" s="19" t="str">
        <v/>
      </c>
    </row>
    <row r="973" spans="3:3" x14ac:dyDescent="0.25">
      <c r="C973" s="19" t="str">
        <v/>
      </c>
    </row>
    <row r="974" spans="3:3" x14ac:dyDescent="0.25">
      <c r="C974" s="19" t="str">
        <v/>
      </c>
    </row>
    <row r="975" spans="3:3" x14ac:dyDescent="0.25">
      <c r="C975" s="19" t="str">
        <v/>
      </c>
    </row>
    <row r="976" spans="3:3" x14ac:dyDescent="0.25">
      <c r="C976" s="19" t="str">
        <v/>
      </c>
    </row>
    <row r="977" spans="3:3" x14ac:dyDescent="0.25">
      <c r="C977" s="19" t="str">
        <v/>
      </c>
    </row>
    <row r="978" spans="3:3" x14ac:dyDescent="0.25">
      <c r="C978" s="19" t="str">
        <v/>
      </c>
    </row>
    <row r="979" spans="3:3" x14ac:dyDescent="0.25">
      <c r="C979" s="19" t="str">
        <v/>
      </c>
    </row>
    <row r="980" spans="3:3" x14ac:dyDescent="0.25">
      <c r="C980" s="19" t="str">
        <v/>
      </c>
    </row>
    <row r="981" spans="3:3" x14ac:dyDescent="0.25">
      <c r="C981" s="19" t="str">
        <v/>
      </c>
    </row>
    <row r="982" spans="3:3" x14ac:dyDescent="0.25">
      <c r="C982" s="19" t="str">
        <v/>
      </c>
    </row>
    <row r="983" spans="3:3" x14ac:dyDescent="0.25">
      <c r="C983" s="19" t="str">
        <v/>
      </c>
    </row>
    <row r="984" spans="3:3" x14ac:dyDescent="0.25">
      <c r="C984" s="19" t="str">
        <v/>
      </c>
    </row>
    <row r="985" spans="3:3" x14ac:dyDescent="0.25">
      <c r="C985" s="19" t="str">
        <v/>
      </c>
    </row>
    <row r="986" spans="3:3" x14ac:dyDescent="0.25">
      <c r="C986" s="19" t="str">
        <v/>
      </c>
    </row>
    <row r="987" spans="3:3" x14ac:dyDescent="0.25">
      <c r="C987" s="19" t="str">
        <v/>
      </c>
    </row>
    <row r="988" spans="3:3" x14ac:dyDescent="0.25">
      <c r="C988" s="19" t="str">
        <v/>
      </c>
    </row>
    <row r="989" spans="3:3" x14ac:dyDescent="0.25">
      <c r="C989" s="19" t="str">
        <v/>
      </c>
    </row>
    <row r="990" spans="3:3" x14ac:dyDescent="0.25">
      <c r="C990" s="19" t="str">
        <v/>
      </c>
    </row>
    <row r="991" spans="3:3" x14ac:dyDescent="0.25">
      <c r="C991" s="19" t="str">
        <v/>
      </c>
    </row>
    <row r="992" spans="3:3" x14ac:dyDescent="0.25">
      <c r="C992" s="19" t="str">
        <v/>
      </c>
    </row>
    <row r="993" spans="3:3" x14ac:dyDescent="0.25">
      <c r="C993" s="19" t="str">
        <v/>
      </c>
    </row>
    <row r="994" spans="3:3" x14ac:dyDescent="0.25">
      <c r="C994" s="19" t="str">
        <v/>
      </c>
    </row>
    <row r="995" spans="3:3" x14ac:dyDescent="0.25">
      <c r="C995" s="19" t="str">
        <v/>
      </c>
    </row>
    <row r="996" spans="3:3" x14ac:dyDescent="0.25">
      <c r="C996" s="19" t="str">
        <v/>
      </c>
    </row>
    <row r="997" spans="3:3" x14ac:dyDescent="0.25">
      <c r="C997" s="19" t="str">
        <v/>
      </c>
    </row>
    <row r="998" spans="3:3" x14ac:dyDescent="0.25">
      <c r="C998" s="19" t="str">
        <v/>
      </c>
    </row>
    <row r="999" spans="3:3" x14ac:dyDescent="0.25">
      <c r="C999" s="19" t="str">
        <v/>
      </c>
    </row>
    <row r="1000" spans="3:3" x14ac:dyDescent="0.25">
      <c r="C1000" s="19" t="str">
        <v/>
      </c>
    </row>
    <row r="1001" spans="3:3" x14ac:dyDescent="0.25">
      <c r="C1001" s="19" t="str">
        <v/>
      </c>
    </row>
    <row r="1002" spans="3:3" x14ac:dyDescent="0.25">
      <c r="C1002" s="19" t="str">
        <v/>
      </c>
    </row>
    <row r="1003" spans="3:3" x14ac:dyDescent="0.25">
      <c r="C1003" s="19" t="str">
        <v/>
      </c>
    </row>
    <row r="1004" spans="3:3" x14ac:dyDescent="0.25">
      <c r="C1004" s="19" t="str">
        <v>FHHOLDQ.IUSA_DMFOT</v>
      </c>
    </row>
    <row r="1005" spans="3:3" x14ac:dyDescent="0.25">
      <c r="C1005" s="19" t="str">
        <v>FPOP2024Q.IUSA_DMFOT</v>
      </c>
    </row>
    <row r="1006" spans="3:3" x14ac:dyDescent="0.25">
      <c r="C1006" s="19" t="str">
        <v>FPOP2529Q.IUSA_DMFOT</v>
      </c>
    </row>
    <row r="1007" spans="3:3" x14ac:dyDescent="0.25">
      <c r="C1007" s="19" t="str">
        <v>FPOP3034Q.IUSA_DMFOT</v>
      </c>
    </row>
    <row r="1008" spans="3:3" x14ac:dyDescent="0.25">
      <c r="C1008" s="19" t="str">
        <v>FPOPQ.IUSA_DMFOT</v>
      </c>
    </row>
    <row r="1009" spans="3:3" x14ac:dyDescent="0.25">
      <c r="C1009" s="19" t="str">
        <v>FYHHMEDQ.IUSA_DMFOT</v>
      </c>
    </row>
    <row r="1010" spans="3:3" x14ac:dyDescent="0.25">
      <c r="C1010" s="19" t="str">
        <v>FET.IUSA_DMFOT</v>
      </c>
    </row>
    <row r="1011" spans="3:3" x14ac:dyDescent="0.25">
      <c r="C1011" s="19" t="str">
        <v>FCPIU.IUSA_DMFOT</v>
      </c>
    </row>
    <row r="1012" spans="3:3" x14ac:dyDescent="0.25">
      <c r="C1012" s="19" t="str">
        <v>FGDP$Q.IUSA_DMFOT</v>
      </c>
    </row>
    <row r="1013" spans="3:3" x14ac:dyDescent="0.25">
      <c r="C1013" s="19" t="str">
        <v>FHPNR.IUSA_DMFOT</v>
      </c>
    </row>
    <row r="1014" spans="3:3" x14ac:dyDescent="0.25">
      <c r="C1014" s="19" t="str">
        <v>FHPNM.IUSA_DMFOT</v>
      </c>
    </row>
    <row r="1015" spans="3:3" x14ac:dyDescent="0.25">
      <c r="C1015" s="19" t="str">
        <v>FHX1.IUSA_DMFOT</v>
      </c>
    </row>
    <row r="1016" spans="3:3" x14ac:dyDescent="0.25">
      <c r="C1016" s="19" t="str">
        <v>FHX1MED.IUSA_DMFOT</v>
      </c>
    </row>
    <row r="1017" spans="3:3" x14ac:dyDescent="0.25">
      <c r="C1017" s="19" t="str">
        <v/>
      </c>
    </row>
    <row r="1018" spans="3:3" x14ac:dyDescent="0.25">
      <c r="C1018" s="19" t="str">
        <v/>
      </c>
    </row>
    <row r="1019" spans="3:3" x14ac:dyDescent="0.25">
      <c r="C1019" s="19" t="str">
        <v/>
      </c>
    </row>
    <row r="1020" spans="3:3" x14ac:dyDescent="0.25">
      <c r="C1020" s="19" t="str">
        <v/>
      </c>
    </row>
    <row r="1021" spans="3:3" x14ac:dyDescent="0.25">
      <c r="C1021" s="19" t="str">
        <v/>
      </c>
    </row>
    <row r="1022" spans="3:3" x14ac:dyDescent="0.25">
      <c r="C1022" s="19" t="str">
        <v/>
      </c>
    </row>
    <row r="1023" spans="3:3" x14ac:dyDescent="0.25">
      <c r="C1023" s="19" t="str">
        <v/>
      </c>
    </row>
    <row r="1024" spans="3:3" x14ac:dyDescent="0.25">
      <c r="C1024" s="19" t="str">
        <v/>
      </c>
    </row>
    <row r="1025" spans="3:3" x14ac:dyDescent="0.25">
      <c r="C1025" s="19" t="str">
        <v/>
      </c>
    </row>
    <row r="1026" spans="3:3" x14ac:dyDescent="0.25">
      <c r="C1026" s="19" t="str">
        <v/>
      </c>
    </row>
    <row r="1027" spans="3:3" x14ac:dyDescent="0.25">
      <c r="C1027" s="19" t="str">
        <v/>
      </c>
    </row>
    <row r="1028" spans="3:3" x14ac:dyDescent="0.25">
      <c r="C1028" s="19" t="str">
        <v/>
      </c>
    </row>
    <row r="1029" spans="3:3" x14ac:dyDescent="0.25">
      <c r="C1029" s="19" t="str">
        <v/>
      </c>
    </row>
    <row r="1030" spans="3:3" x14ac:dyDescent="0.25">
      <c r="C1030" s="19" t="str">
        <v/>
      </c>
    </row>
    <row r="1031" spans="3:3" x14ac:dyDescent="0.25">
      <c r="C1031" s="19" t="str">
        <v/>
      </c>
    </row>
    <row r="1032" spans="3:3" x14ac:dyDescent="0.25">
      <c r="C1032" s="19" t="str">
        <v/>
      </c>
    </row>
    <row r="1033" spans="3:3" x14ac:dyDescent="0.25">
      <c r="C1033" s="19" t="str">
        <v/>
      </c>
    </row>
    <row r="1034" spans="3:3" x14ac:dyDescent="0.25">
      <c r="C1034" s="19" t="str">
        <v/>
      </c>
    </row>
    <row r="1035" spans="3:3" x14ac:dyDescent="0.25">
      <c r="C1035" s="19" t="str">
        <v/>
      </c>
    </row>
    <row r="1036" spans="3:3" x14ac:dyDescent="0.25">
      <c r="C1036" s="19" t="str">
        <v/>
      </c>
    </row>
    <row r="1037" spans="3:3" x14ac:dyDescent="0.25">
      <c r="C1037" s="19" t="str">
        <v/>
      </c>
    </row>
    <row r="1038" spans="3:3" x14ac:dyDescent="0.25">
      <c r="C1038" s="19" t="str">
        <v/>
      </c>
    </row>
    <row r="1039" spans="3:3" x14ac:dyDescent="0.25">
      <c r="C1039" s="19" t="str">
        <v/>
      </c>
    </row>
    <row r="1040" spans="3:3" x14ac:dyDescent="0.25">
      <c r="C1040" s="19" t="str">
        <v/>
      </c>
    </row>
    <row r="1041" spans="3:3" x14ac:dyDescent="0.25">
      <c r="C1041" s="19" t="str">
        <v/>
      </c>
    </row>
    <row r="1042" spans="3:3" x14ac:dyDescent="0.25">
      <c r="C1042" s="19" t="str">
        <v/>
      </c>
    </row>
    <row r="1043" spans="3:3" x14ac:dyDescent="0.25">
      <c r="C1043" s="19" t="str">
        <v/>
      </c>
    </row>
    <row r="1044" spans="3:3" x14ac:dyDescent="0.25">
      <c r="C1044" s="19" t="str">
        <v/>
      </c>
    </row>
    <row r="1045" spans="3:3" x14ac:dyDescent="0.25">
      <c r="C1045" s="19" t="str">
        <v/>
      </c>
    </row>
    <row r="1046" spans="3:3" x14ac:dyDescent="0.25">
      <c r="C1046" s="19" t="str">
        <v/>
      </c>
    </row>
    <row r="1047" spans="3:3" x14ac:dyDescent="0.25">
      <c r="C1047" s="19" t="str">
        <v/>
      </c>
    </row>
    <row r="1048" spans="3:3" x14ac:dyDescent="0.25">
      <c r="C1048" s="19" t="str">
        <v/>
      </c>
    </row>
    <row r="1049" spans="3:3" x14ac:dyDescent="0.25">
      <c r="C1049" s="19" t="str">
        <v/>
      </c>
    </row>
    <row r="1050" spans="3:3" x14ac:dyDescent="0.25">
      <c r="C1050" s="19" t="str">
        <v/>
      </c>
    </row>
    <row r="1051" spans="3:3" x14ac:dyDescent="0.25">
      <c r="C1051" s="19" t="str">
        <v/>
      </c>
    </row>
    <row r="1052" spans="3:3" x14ac:dyDescent="0.25">
      <c r="C1052" s="19" t="str">
        <v/>
      </c>
    </row>
    <row r="1053" spans="3:3" x14ac:dyDescent="0.25">
      <c r="C1053" s="19" t="str">
        <v/>
      </c>
    </row>
    <row r="1054" spans="3:3" x14ac:dyDescent="0.25">
      <c r="C1054" s="19" t="str">
        <v>FHHOLDQ.IUSA_DMDLL</v>
      </c>
    </row>
    <row r="1055" spans="3:3" x14ac:dyDescent="0.25">
      <c r="C1055" s="19" t="str">
        <v>FPOP2024Q.IUSA_DMDLL</v>
      </c>
    </row>
    <row r="1056" spans="3:3" x14ac:dyDescent="0.25">
      <c r="C1056" s="19" t="str">
        <v>FPOP2529Q.IUSA_DMDLL</v>
      </c>
    </row>
    <row r="1057" spans="3:3" x14ac:dyDescent="0.25">
      <c r="C1057" s="19" t="str">
        <v>FPOP3034Q.IUSA_DMDLL</v>
      </c>
    </row>
    <row r="1058" spans="3:3" x14ac:dyDescent="0.25">
      <c r="C1058" s="19" t="str">
        <v>FPOPQ.IUSA_DMDLL</v>
      </c>
    </row>
    <row r="1059" spans="3:3" x14ac:dyDescent="0.25">
      <c r="C1059" s="19" t="str">
        <v>FYHHMEDQ.IUSA_DMDLL</v>
      </c>
    </row>
    <row r="1060" spans="3:3" x14ac:dyDescent="0.25">
      <c r="C1060" s="19" t="str">
        <v>FET.IUSA_DMDLL</v>
      </c>
    </row>
    <row r="1061" spans="3:3" x14ac:dyDescent="0.25">
      <c r="C1061" s="19" t="str">
        <v>FCPIU.IUSA_DMDLL</v>
      </c>
    </row>
    <row r="1062" spans="3:3" x14ac:dyDescent="0.25">
      <c r="C1062" s="19" t="str">
        <v>FGDP$Q.IUSA_DMDLL</v>
      </c>
    </row>
    <row r="1063" spans="3:3" x14ac:dyDescent="0.25">
      <c r="C1063" s="19" t="str">
        <v>FHPNR.IUSA_DMDLL</v>
      </c>
    </row>
    <row r="1064" spans="3:3" x14ac:dyDescent="0.25">
      <c r="C1064" s="19" t="str">
        <v>FHPNM.IUSA_DMDLL</v>
      </c>
    </row>
    <row r="1065" spans="3:3" x14ac:dyDescent="0.25">
      <c r="C1065" s="19" t="str">
        <v>FHX1.IUSA_DMDLL</v>
      </c>
    </row>
    <row r="1066" spans="3:3" x14ac:dyDescent="0.25">
      <c r="C1066" s="19" t="str">
        <v>FHX1MED.IUSA_DMDLL</v>
      </c>
    </row>
    <row r="1067" spans="3:3" x14ac:dyDescent="0.25">
      <c r="C1067" s="19" t="str">
        <v/>
      </c>
    </row>
    <row r="1068" spans="3:3" x14ac:dyDescent="0.25">
      <c r="C1068" s="19" t="str">
        <v/>
      </c>
    </row>
    <row r="1069" spans="3:3" x14ac:dyDescent="0.25">
      <c r="C1069" s="19" t="str">
        <v/>
      </c>
    </row>
    <row r="1070" spans="3:3" x14ac:dyDescent="0.25">
      <c r="C1070" s="19" t="str">
        <v/>
      </c>
    </row>
    <row r="1071" spans="3:3" x14ac:dyDescent="0.25">
      <c r="C1071" s="19" t="str">
        <v/>
      </c>
    </row>
    <row r="1072" spans="3:3" x14ac:dyDescent="0.25">
      <c r="C1072" s="19" t="str">
        <v/>
      </c>
    </row>
    <row r="1073" spans="3:3" x14ac:dyDescent="0.25">
      <c r="C1073" s="19" t="str">
        <v/>
      </c>
    </row>
    <row r="1074" spans="3:3" x14ac:dyDescent="0.25">
      <c r="C1074" s="19" t="str">
        <v/>
      </c>
    </row>
    <row r="1075" spans="3:3" x14ac:dyDescent="0.25">
      <c r="C1075" s="19" t="str">
        <v/>
      </c>
    </row>
    <row r="1076" spans="3:3" x14ac:dyDescent="0.25">
      <c r="C1076" s="19" t="str">
        <v/>
      </c>
    </row>
    <row r="1077" spans="3:3" x14ac:dyDescent="0.25">
      <c r="C1077" s="19" t="str">
        <v/>
      </c>
    </row>
    <row r="1078" spans="3:3" x14ac:dyDescent="0.25">
      <c r="C1078" s="19" t="str">
        <v/>
      </c>
    </row>
    <row r="1079" spans="3:3" x14ac:dyDescent="0.25">
      <c r="C1079" s="19" t="str">
        <v/>
      </c>
    </row>
    <row r="1080" spans="3:3" x14ac:dyDescent="0.25">
      <c r="C1080" s="19" t="str">
        <v/>
      </c>
    </row>
    <row r="1081" spans="3:3" x14ac:dyDescent="0.25">
      <c r="C1081" s="19" t="str">
        <v/>
      </c>
    </row>
    <row r="1082" spans="3:3" x14ac:dyDescent="0.25">
      <c r="C1082" s="19" t="str">
        <v/>
      </c>
    </row>
    <row r="1083" spans="3:3" x14ac:dyDescent="0.25">
      <c r="C1083" s="19" t="str">
        <v/>
      </c>
    </row>
    <row r="1084" spans="3:3" x14ac:dyDescent="0.25">
      <c r="C1084" s="19" t="str">
        <v/>
      </c>
    </row>
    <row r="1085" spans="3:3" x14ac:dyDescent="0.25">
      <c r="C1085" s="19" t="str">
        <v/>
      </c>
    </row>
    <row r="1086" spans="3:3" x14ac:dyDescent="0.25">
      <c r="C1086" s="19" t="str">
        <v/>
      </c>
    </row>
    <row r="1087" spans="3:3" x14ac:dyDescent="0.25">
      <c r="C1087" s="19" t="str">
        <v/>
      </c>
    </row>
    <row r="1088" spans="3:3" x14ac:dyDescent="0.25">
      <c r="C1088" s="19" t="str">
        <v/>
      </c>
    </row>
    <row r="1089" spans="3:3" x14ac:dyDescent="0.25">
      <c r="C1089" s="19" t="str">
        <v/>
      </c>
    </row>
    <row r="1090" spans="3:3" x14ac:dyDescent="0.25">
      <c r="C1090" s="19" t="str">
        <v/>
      </c>
    </row>
    <row r="1091" spans="3:3" x14ac:dyDescent="0.25">
      <c r="C1091" s="19" t="str">
        <v/>
      </c>
    </row>
    <row r="1092" spans="3:3" x14ac:dyDescent="0.25">
      <c r="C1092" s="19" t="str">
        <v/>
      </c>
    </row>
    <row r="1093" spans="3:3" x14ac:dyDescent="0.25">
      <c r="C1093" s="19" t="str">
        <v/>
      </c>
    </row>
    <row r="1094" spans="3:3" x14ac:dyDescent="0.25">
      <c r="C1094" s="19" t="str">
        <v/>
      </c>
    </row>
    <row r="1095" spans="3:3" x14ac:dyDescent="0.25">
      <c r="C1095" s="19" t="str">
        <v/>
      </c>
    </row>
    <row r="1096" spans="3:3" x14ac:dyDescent="0.25">
      <c r="C1096" s="19" t="str">
        <v/>
      </c>
    </row>
    <row r="1097" spans="3:3" x14ac:dyDescent="0.25">
      <c r="C1097" s="19" t="str">
        <v/>
      </c>
    </row>
    <row r="1098" spans="3:3" x14ac:dyDescent="0.25">
      <c r="C1098" s="19" t="str">
        <v/>
      </c>
    </row>
    <row r="1099" spans="3:3" x14ac:dyDescent="0.25">
      <c r="C1099" s="19" t="str">
        <v/>
      </c>
    </row>
    <row r="1100" spans="3:3" x14ac:dyDescent="0.25">
      <c r="C1100" s="19" t="str">
        <v/>
      </c>
    </row>
    <row r="1101" spans="3:3" x14ac:dyDescent="0.25">
      <c r="C1101" s="19" t="str">
        <v/>
      </c>
    </row>
    <row r="1102" spans="3:3" x14ac:dyDescent="0.25">
      <c r="C1102" s="19" t="str">
        <v/>
      </c>
    </row>
    <row r="1103" spans="3:3" x14ac:dyDescent="0.25">
      <c r="C1103" s="19" t="str">
        <v/>
      </c>
    </row>
    <row r="1104" spans="3:3" x14ac:dyDescent="0.25">
      <c r="C1104" s="19" t="str">
        <v>FHHOLDQ.IUSA_DMMIA</v>
      </c>
    </row>
    <row r="1105" spans="3:3" x14ac:dyDescent="0.25">
      <c r="C1105" s="19" t="str">
        <v>FPOP2024Q.IUSA_DMMIA</v>
      </c>
    </row>
    <row r="1106" spans="3:3" x14ac:dyDescent="0.25">
      <c r="C1106" s="19" t="str">
        <v>FPOP2529Q.IUSA_DMMIA</v>
      </c>
    </row>
    <row r="1107" spans="3:3" x14ac:dyDescent="0.25">
      <c r="C1107" s="19" t="str">
        <v>FPOP3034Q.IUSA_DMMIA</v>
      </c>
    </row>
    <row r="1108" spans="3:3" x14ac:dyDescent="0.25">
      <c r="C1108" s="19" t="str">
        <v>FPOPQ.IUSA_DMMIA</v>
      </c>
    </row>
    <row r="1109" spans="3:3" x14ac:dyDescent="0.25">
      <c r="C1109" s="19" t="str">
        <v>FYHHMEDQ.IUSA_DMMIA</v>
      </c>
    </row>
    <row r="1110" spans="3:3" x14ac:dyDescent="0.25">
      <c r="C1110" s="19" t="str">
        <v>FET.IUSA_DMMIA</v>
      </c>
    </row>
    <row r="1111" spans="3:3" x14ac:dyDescent="0.25">
      <c r="C1111" s="19" t="str">
        <v>FCPIU.IUSA_DMMIA</v>
      </c>
    </row>
    <row r="1112" spans="3:3" x14ac:dyDescent="0.25">
      <c r="C1112" s="19" t="str">
        <v>FGDP$Q.IUSA_DMMIA</v>
      </c>
    </row>
    <row r="1113" spans="3:3" x14ac:dyDescent="0.25">
      <c r="C1113" s="19" t="str">
        <v>FHPNR.IUSA_DMMIA</v>
      </c>
    </row>
    <row r="1114" spans="3:3" x14ac:dyDescent="0.25">
      <c r="C1114" s="19" t="str">
        <v>FHPNM.IUSA_DMMIA</v>
      </c>
    </row>
    <row r="1115" spans="3:3" x14ac:dyDescent="0.25">
      <c r="C1115" s="19" t="str">
        <v>FHX1.IUSA_DMMIA</v>
      </c>
    </row>
    <row r="1116" spans="3:3" x14ac:dyDescent="0.25">
      <c r="C1116" s="19" t="str">
        <v>FHX1MED.IUSA_DMMIA</v>
      </c>
    </row>
    <row r="1117" spans="3:3" x14ac:dyDescent="0.25">
      <c r="C1117" s="19" t="str">
        <v/>
      </c>
    </row>
    <row r="1118" spans="3:3" x14ac:dyDescent="0.25">
      <c r="C1118" s="19" t="str">
        <v/>
      </c>
    </row>
    <row r="1119" spans="3:3" x14ac:dyDescent="0.25">
      <c r="C1119" s="19" t="str">
        <v/>
      </c>
    </row>
    <row r="1120" spans="3:3" x14ac:dyDescent="0.25">
      <c r="C1120" s="19" t="str">
        <v/>
      </c>
    </row>
    <row r="1121" spans="3:3" x14ac:dyDescent="0.25">
      <c r="C1121" s="19" t="str">
        <v/>
      </c>
    </row>
    <row r="1122" spans="3:3" x14ac:dyDescent="0.25">
      <c r="C1122" s="19" t="str">
        <v/>
      </c>
    </row>
    <row r="1123" spans="3:3" x14ac:dyDescent="0.25">
      <c r="C1123" s="19" t="str">
        <v/>
      </c>
    </row>
    <row r="1124" spans="3:3" x14ac:dyDescent="0.25">
      <c r="C1124" s="19" t="str">
        <v/>
      </c>
    </row>
    <row r="1125" spans="3:3" x14ac:dyDescent="0.25">
      <c r="C1125" s="19" t="str">
        <v/>
      </c>
    </row>
    <row r="1126" spans="3:3" x14ac:dyDescent="0.25">
      <c r="C1126" s="19" t="str">
        <v/>
      </c>
    </row>
    <row r="1127" spans="3:3" x14ac:dyDescent="0.25">
      <c r="C1127" s="19" t="str">
        <v/>
      </c>
    </row>
    <row r="1128" spans="3:3" x14ac:dyDescent="0.25">
      <c r="C1128" s="19" t="str">
        <v/>
      </c>
    </row>
    <row r="1129" spans="3:3" x14ac:dyDescent="0.25">
      <c r="C1129" s="19" t="str">
        <v/>
      </c>
    </row>
    <row r="1130" spans="3:3" x14ac:dyDescent="0.25">
      <c r="C1130" s="19" t="str">
        <v/>
      </c>
    </row>
    <row r="1131" spans="3:3" x14ac:dyDescent="0.25">
      <c r="C1131" s="19" t="str">
        <v/>
      </c>
    </row>
    <row r="1132" spans="3:3" x14ac:dyDescent="0.25">
      <c r="C1132" s="19" t="str">
        <v/>
      </c>
    </row>
    <row r="1133" spans="3:3" x14ac:dyDescent="0.25">
      <c r="C1133" s="19" t="str">
        <v/>
      </c>
    </row>
    <row r="1134" spans="3:3" x14ac:dyDescent="0.25">
      <c r="C1134" s="19" t="str">
        <v/>
      </c>
    </row>
    <row r="1135" spans="3:3" x14ac:dyDescent="0.25">
      <c r="C1135" s="19" t="str">
        <v/>
      </c>
    </row>
    <row r="1136" spans="3:3" x14ac:dyDescent="0.25">
      <c r="C1136" s="19" t="str">
        <v/>
      </c>
    </row>
    <row r="1137" spans="3:3" x14ac:dyDescent="0.25">
      <c r="C1137" s="19" t="str">
        <v/>
      </c>
    </row>
    <row r="1138" spans="3:3" x14ac:dyDescent="0.25">
      <c r="C1138" s="19" t="str">
        <v/>
      </c>
    </row>
    <row r="1139" spans="3:3" x14ac:dyDescent="0.25">
      <c r="C1139" s="19" t="str">
        <v/>
      </c>
    </row>
    <row r="1140" spans="3:3" x14ac:dyDescent="0.25">
      <c r="C1140" s="19" t="str">
        <v/>
      </c>
    </row>
    <row r="1141" spans="3:3" x14ac:dyDescent="0.25">
      <c r="C1141" s="19" t="str">
        <v/>
      </c>
    </row>
    <row r="1142" spans="3:3" x14ac:dyDescent="0.25">
      <c r="C1142" s="19" t="str">
        <v/>
      </c>
    </row>
    <row r="1143" spans="3:3" x14ac:dyDescent="0.25">
      <c r="C1143" s="19" t="str">
        <v/>
      </c>
    </row>
    <row r="1144" spans="3:3" x14ac:dyDescent="0.25">
      <c r="C1144" s="19" t="str">
        <v/>
      </c>
    </row>
    <row r="1145" spans="3:3" x14ac:dyDescent="0.25">
      <c r="C1145" s="19" t="str">
        <v/>
      </c>
    </row>
    <row r="1146" spans="3:3" x14ac:dyDescent="0.25">
      <c r="C1146" s="19" t="str">
        <v/>
      </c>
    </row>
    <row r="1147" spans="3:3" x14ac:dyDescent="0.25">
      <c r="C1147" s="19" t="str">
        <v/>
      </c>
    </row>
    <row r="1148" spans="3:3" x14ac:dyDescent="0.25">
      <c r="C1148" s="19" t="str">
        <v/>
      </c>
    </row>
    <row r="1149" spans="3:3" x14ac:dyDescent="0.25">
      <c r="C1149" s="19" t="str">
        <v/>
      </c>
    </row>
    <row r="1150" spans="3:3" x14ac:dyDescent="0.25">
      <c r="C1150" s="19" t="str">
        <v/>
      </c>
    </row>
    <row r="1151" spans="3:3" x14ac:dyDescent="0.25">
      <c r="C1151" s="19" t="str">
        <v/>
      </c>
    </row>
    <row r="1152" spans="3:3" x14ac:dyDescent="0.25">
      <c r="C1152" s="19" t="str">
        <v/>
      </c>
    </row>
    <row r="1153" spans="3:3" x14ac:dyDescent="0.25">
      <c r="C1153" s="19" t="str">
        <v/>
      </c>
    </row>
    <row r="1154" spans="3:3" x14ac:dyDescent="0.25">
      <c r="C1154" s="19" t="str">
        <v>FHHOLDQ.IUSA_MORL</v>
      </c>
    </row>
    <row r="1155" spans="3:3" x14ac:dyDescent="0.25">
      <c r="C1155" s="19" t="str">
        <v>FPOP2024Q.IUSA_MORL</v>
      </c>
    </row>
    <row r="1156" spans="3:3" x14ac:dyDescent="0.25">
      <c r="C1156" s="19" t="str">
        <v>FPOP2529Q.IUSA_MORL</v>
      </c>
    </row>
    <row r="1157" spans="3:3" x14ac:dyDescent="0.25">
      <c r="C1157" s="19" t="str">
        <v>FPOP3034Q.IUSA_MORL</v>
      </c>
    </row>
    <row r="1158" spans="3:3" x14ac:dyDescent="0.25">
      <c r="C1158" s="19" t="str">
        <v>FPOPQ.IUSA_MORL</v>
      </c>
    </row>
    <row r="1159" spans="3:3" x14ac:dyDescent="0.25">
      <c r="C1159" s="19" t="str">
        <v>FYHHMEDQ.IUSA_MORL</v>
      </c>
    </row>
    <row r="1160" spans="3:3" x14ac:dyDescent="0.25">
      <c r="C1160" s="19" t="str">
        <v>FET.IUSA_MORL</v>
      </c>
    </row>
    <row r="1161" spans="3:3" x14ac:dyDescent="0.25">
      <c r="C1161" s="19" t="str">
        <v>FCPIU.IUSA_MORL</v>
      </c>
    </row>
    <row r="1162" spans="3:3" x14ac:dyDescent="0.25">
      <c r="C1162" s="19" t="str">
        <v>FGDP$Q.IUSA_MORL</v>
      </c>
    </row>
    <row r="1163" spans="3:3" x14ac:dyDescent="0.25">
      <c r="C1163" s="19" t="str">
        <v>FHPNR.IUSA_MORL</v>
      </c>
    </row>
    <row r="1164" spans="3:3" x14ac:dyDescent="0.25">
      <c r="C1164" s="19" t="str">
        <v>FHPNM.IUSA_MORL</v>
      </c>
    </row>
    <row r="1165" spans="3:3" x14ac:dyDescent="0.25">
      <c r="C1165" s="19" t="str">
        <v>FHX1.IUSA_MORL</v>
      </c>
    </row>
    <row r="1166" spans="3:3" x14ac:dyDescent="0.25">
      <c r="C1166" s="19" t="str">
        <v>FHX1MED.IUSA_MORL</v>
      </c>
    </row>
    <row r="1167" spans="3:3" x14ac:dyDescent="0.25">
      <c r="C1167" s="19" t="str">
        <v/>
      </c>
    </row>
    <row r="1168" spans="3:3" x14ac:dyDescent="0.25">
      <c r="C1168" s="19" t="str">
        <v/>
      </c>
    </row>
    <row r="1169" spans="3:3" x14ac:dyDescent="0.25">
      <c r="C1169" s="19" t="str">
        <v/>
      </c>
    </row>
    <row r="1170" spans="3:3" x14ac:dyDescent="0.25">
      <c r="C1170" s="19" t="str">
        <v/>
      </c>
    </row>
    <row r="1171" spans="3:3" x14ac:dyDescent="0.25">
      <c r="C1171" s="19" t="str">
        <v/>
      </c>
    </row>
    <row r="1172" spans="3:3" x14ac:dyDescent="0.25">
      <c r="C1172" s="19" t="str">
        <v/>
      </c>
    </row>
    <row r="1173" spans="3:3" x14ac:dyDescent="0.25">
      <c r="C1173" s="19" t="str">
        <v/>
      </c>
    </row>
    <row r="1174" spans="3:3" x14ac:dyDescent="0.25">
      <c r="C1174" s="19" t="str">
        <v/>
      </c>
    </row>
    <row r="1175" spans="3:3" x14ac:dyDescent="0.25">
      <c r="C1175" s="19" t="str">
        <v/>
      </c>
    </row>
    <row r="1176" spans="3:3" x14ac:dyDescent="0.25">
      <c r="C1176" s="19" t="str">
        <v/>
      </c>
    </row>
    <row r="1177" spans="3:3" x14ac:dyDescent="0.25">
      <c r="C1177" s="19" t="str">
        <v/>
      </c>
    </row>
    <row r="1178" spans="3:3" x14ac:dyDescent="0.25">
      <c r="C1178" s="19" t="str">
        <v/>
      </c>
    </row>
    <row r="1179" spans="3:3" x14ac:dyDescent="0.25">
      <c r="C1179" s="19" t="str">
        <v/>
      </c>
    </row>
    <row r="1180" spans="3:3" x14ac:dyDescent="0.25">
      <c r="C1180" s="19" t="str">
        <v/>
      </c>
    </row>
    <row r="1181" spans="3:3" x14ac:dyDescent="0.25">
      <c r="C1181" s="19" t="str">
        <v/>
      </c>
    </row>
    <row r="1182" spans="3:3" x14ac:dyDescent="0.25">
      <c r="C1182" s="19" t="str">
        <v/>
      </c>
    </row>
    <row r="1183" spans="3:3" x14ac:dyDescent="0.25">
      <c r="C1183" s="19" t="str">
        <v/>
      </c>
    </row>
    <row r="1184" spans="3:3" x14ac:dyDescent="0.25">
      <c r="C1184" s="19" t="str">
        <v/>
      </c>
    </row>
    <row r="1185" spans="3:3" x14ac:dyDescent="0.25">
      <c r="C1185" s="19" t="str">
        <v/>
      </c>
    </row>
    <row r="1186" spans="3:3" x14ac:dyDescent="0.25">
      <c r="C1186" s="19" t="str">
        <v/>
      </c>
    </row>
    <row r="1187" spans="3:3" x14ac:dyDescent="0.25">
      <c r="C1187" s="19" t="str">
        <v/>
      </c>
    </row>
    <row r="1188" spans="3:3" x14ac:dyDescent="0.25">
      <c r="C1188" s="19" t="str">
        <v/>
      </c>
    </row>
    <row r="1189" spans="3:3" x14ac:dyDescent="0.25">
      <c r="C1189" s="19" t="str">
        <v/>
      </c>
    </row>
    <row r="1190" spans="3:3" x14ac:dyDescent="0.25">
      <c r="C1190" s="19" t="str">
        <v/>
      </c>
    </row>
    <row r="1191" spans="3:3" x14ac:dyDescent="0.25">
      <c r="C1191" s="19" t="str">
        <v/>
      </c>
    </row>
    <row r="1192" spans="3:3" x14ac:dyDescent="0.25">
      <c r="C1192" s="19" t="str">
        <v/>
      </c>
    </row>
    <row r="1193" spans="3:3" x14ac:dyDescent="0.25">
      <c r="C1193" s="19" t="str">
        <v/>
      </c>
    </row>
    <row r="1194" spans="3:3" x14ac:dyDescent="0.25">
      <c r="C1194" s="19" t="str">
        <v/>
      </c>
    </row>
    <row r="1195" spans="3:3" x14ac:dyDescent="0.25">
      <c r="C1195" s="19" t="str">
        <v/>
      </c>
    </row>
    <row r="1196" spans="3:3" x14ac:dyDescent="0.25">
      <c r="C1196" s="19" t="str">
        <v/>
      </c>
    </row>
    <row r="1197" spans="3:3" x14ac:dyDescent="0.25">
      <c r="C1197" s="19" t="str">
        <v/>
      </c>
    </row>
    <row r="1198" spans="3:3" x14ac:dyDescent="0.25">
      <c r="C1198" s="19" t="str">
        <v/>
      </c>
    </row>
    <row r="1199" spans="3:3" x14ac:dyDescent="0.25">
      <c r="C1199" s="19" t="str">
        <v/>
      </c>
    </row>
    <row r="1200" spans="3:3" x14ac:dyDescent="0.25">
      <c r="C1200" s="19" t="str">
        <v/>
      </c>
    </row>
    <row r="1201" spans="3:3" x14ac:dyDescent="0.25">
      <c r="C1201" s="19" t="str">
        <v/>
      </c>
    </row>
    <row r="1202" spans="3:3" x14ac:dyDescent="0.25">
      <c r="C1202" s="19" t="str">
        <v/>
      </c>
    </row>
    <row r="1203" spans="3:3" x14ac:dyDescent="0.25">
      <c r="C1203" s="19" t="str">
        <v/>
      </c>
    </row>
    <row r="1204" spans="3:3" x14ac:dyDescent="0.25">
      <c r="C1204" s="19" t="str">
        <v>FHHOLDQ.IUSA_MRIV</v>
      </c>
    </row>
    <row r="1205" spans="3:3" x14ac:dyDescent="0.25">
      <c r="C1205" s="19" t="str">
        <v>FPOP2024Q.IUSA_MRIV</v>
      </c>
    </row>
    <row r="1206" spans="3:3" x14ac:dyDescent="0.25">
      <c r="C1206" s="19" t="str">
        <v>FPOP2529Q.IUSA_MRIV</v>
      </c>
    </row>
    <row r="1207" spans="3:3" x14ac:dyDescent="0.25">
      <c r="C1207" s="19" t="str">
        <v>FPOP3034Q.IUSA_MRIV</v>
      </c>
    </row>
    <row r="1208" spans="3:3" x14ac:dyDescent="0.25">
      <c r="C1208" s="19" t="str">
        <v>FPOPQ.IUSA_MRIV</v>
      </c>
    </row>
    <row r="1209" spans="3:3" x14ac:dyDescent="0.25">
      <c r="C1209" s="19" t="str">
        <v>FYHHMEDQ.IUSA_MRIV</v>
      </c>
    </row>
    <row r="1210" spans="3:3" x14ac:dyDescent="0.25">
      <c r="C1210" s="19" t="str">
        <v>FET.IUSA_MRIV</v>
      </c>
    </row>
    <row r="1211" spans="3:3" x14ac:dyDescent="0.25">
      <c r="C1211" s="19" t="str">
        <v>FCPIU.IUSA_MRIV</v>
      </c>
    </row>
    <row r="1212" spans="3:3" x14ac:dyDescent="0.25">
      <c r="C1212" s="19" t="str">
        <v>FGDP$Q.IUSA_MRIV</v>
      </c>
    </row>
    <row r="1213" spans="3:3" x14ac:dyDescent="0.25">
      <c r="C1213" s="19" t="str">
        <v>FHPNR.IUSA_MRIV</v>
      </c>
    </row>
    <row r="1214" spans="3:3" x14ac:dyDescent="0.25">
      <c r="C1214" s="19" t="str">
        <v>FHPNM.IUSA_MRIV</v>
      </c>
    </row>
    <row r="1215" spans="3:3" x14ac:dyDescent="0.25">
      <c r="C1215" s="19" t="str">
        <v>FHX1.IUSA_MRIV</v>
      </c>
    </row>
    <row r="1216" spans="3:3" x14ac:dyDescent="0.25">
      <c r="C1216" s="19" t="str">
        <v>FHX1MED.IUSA_MRIV</v>
      </c>
    </row>
    <row r="1217" spans="3:3" x14ac:dyDescent="0.25">
      <c r="C1217" s="19" t="str">
        <v/>
      </c>
    </row>
    <row r="1218" spans="3:3" x14ac:dyDescent="0.25">
      <c r="C1218" s="19" t="str">
        <v/>
      </c>
    </row>
    <row r="1219" spans="3:3" x14ac:dyDescent="0.25">
      <c r="C1219" s="19" t="str">
        <v/>
      </c>
    </row>
    <row r="1220" spans="3:3" x14ac:dyDescent="0.25">
      <c r="C1220" s="19" t="str">
        <v/>
      </c>
    </row>
    <row r="1221" spans="3:3" x14ac:dyDescent="0.25">
      <c r="C1221" s="19" t="str">
        <v/>
      </c>
    </row>
    <row r="1222" spans="3:3" x14ac:dyDescent="0.25">
      <c r="C1222" s="19" t="str">
        <v/>
      </c>
    </row>
    <row r="1223" spans="3:3" x14ac:dyDescent="0.25">
      <c r="C1223" s="19" t="str">
        <v/>
      </c>
    </row>
    <row r="1224" spans="3:3" x14ac:dyDescent="0.25">
      <c r="C1224" s="19" t="str">
        <v/>
      </c>
    </row>
    <row r="1225" spans="3:3" x14ac:dyDescent="0.25">
      <c r="C1225" s="19" t="str">
        <v/>
      </c>
    </row>
    <row r="1226" spans="3:3" x14ac:dyDescent="0.25">
      <c r="C1226" s="19" t="str">
        <v/>
      </c>
    </row>
    <row r="1227" spans="3:3" x14ac:dyDescent="0.25">
      <c r="C1227" s="19" t="str">
        <v/>
      </c>
    </row>
    <row r="1228" spans="3:3" x14ac:dyDescent="0.25">
      <c r="C1228" s="19" t="str">
        <v/>
      </c>
    </row>
    <row r="1229" spans="3:3" x14ac:dyDescent="0.25">
      <c r="C1229" s="19" t="str">
        <v/>
      </c>
    </row>
    <row r="1230" spans="3:3" x14ac:dyDescent="0.25">
      <c r="C1230" s="19" t="str">
        <v/>
      </c>
    </row>
    <row r="1231" spans="3:3" x14ac:dyDescent="0.25">
      <c r="C1231" s="19" t="str">
        <v/>
      </c>
    </row>
    <row r="1232" spans="3:3" x14ac:dyDescent="0.25">
      <c r="C1232" s="19" t="str">
        <v/>
      </c>
    </row>
    <row r="1233" spans="3:3" x14ac:dyDescent="0.25">
      <c r="C1233" s="19" t="str">
        <v/>
      </c>
    </row>
    <row r="1234" spans="3:3" x14ac:dyDescent="0.25">
      <c r="C1234" s="19" t="str">
        <v/>
      </c>
    </row>
    <row r="1235" spans="3:3" x14ac:dyDescent="0.25">
      <c r="C1235" s="19" t="str">
        <v/>
      </c>
    </row>
    <row r="1236" spans="3:3" x14ac:dyDescent="0.25">
      <c r="C1236" s="19" t="str">
        <v/>
      </c>
    </row>
    <row r="1237" spans="3:3" x14ac:dyDescent="0.25">
      <c r="C1237" s="19" t="str">
        <v/>
      </c>
    </row>
    <row r="1238" spans="3:3" x14ac:dyDescent="0.25">
      <c r="C1238" s="19" t="str">
        <v/>
      </c>
    </row>
    <row r="1239" spans="3:3" x14ac:dyDescent="0.25">
      <c r="C1239" s="19" t="str">
        <v/>
      </c>
    </row>
    <row r="1240" spans="3:3" x14ac:dyDescent="0.25">
      <c r="C1240" s="19" t="str">
        <v/>
      </c>
    </row>
    <row r="1241" spans="3:3" x14ac:dyDescent="0.25">
      <c r="C1241" s="19" t="str">
        <v/>
      </c>
    </row>
    <row r="1242" spans="3:3" x14ac:dyDescent="0.25">
      <c r="C1242" s="19" t="str">
        <v/>
      </c>
    </row>
    <row r="1243" spans="3:3" x14ac:dyDescent="0.25">
      <c r="C1243" s="19" t="str">
        <v/>
      </c>
    </row>
    <row r="1244" spans="3:3" x14ac:dyDescent="0.25">
      <c r="C1244" s="19" t="str">
        <v/>
      </c>
    </row>
    <row r="1245" spans="3:3" x14ac:dyDescent="0.25">
      <c r="C1245" s="19" t="str">
        <v/>
      </c>
    </row>
    <row r="1246" spans="3:3" x14ac:dyDescent="0.25">
      <c r="C1246" s="19" t="str">
        <v/>
      </c>
    </row>
    <row r="1247" spans="3:3" x14ac:dyDescent="0.25">
      <c r="C1247" s="19" t="str">
        <v/>
      </c>
    </row>
    <row r="1248" spans="3:3" x14ac:dyDescent="0.25">
      <c r="C1248" s="19" t="str">
        <v/>
      </c>
    </row>
    <row r="1249" spans="3:3" x14ac:dyDescent="0.25">
      <c r="C1249" s="19" t="str">
        <v/>
      </c>
    </row>
    <row r="1250" spans="3:3" x14ac:dyDescent="0.25">
      <c r="C1250" s="19" t="str">
        <v/>
      </c>
    </row>
    <row r="1251" spans="3:3" x14ac:dyDescent="0.25">
      <c r="C1251" s="19" t="str">
        <v/>
      </c>
    </row>
    <row r="1252" spans="3:3" x14ac:dyDescent="0.25">
      <c r="C1252" s="19" t="str">
        <v/>
      </c>
    </row>
    <row r="1253" spans="3:3" x14ac:dyDescent="0.25">
      <c r="C1253" s="19" t="str">
        <v/>
      </c>
    </row>
    <row r="1254" spans="3:3" x14ac:dyDescent="0.25">
      <c r="C1254" s="19" t="str">
        <v>FHHOLDQ.IUSA_MTAM</v>
      </c>
    </row>
    <row r="1255" spans="3:3" x14ac:dyDescent="0.25">
      <c r="C1255" s="19" t="str">
        <v>FPOP2024Q.IUSA_MTAM</v>
      </c>
    </row>
    <row r="1256" spans="3:3" x14ac:dyDescent="0.25">
      <c r="C1256" s="19" t="str">
        <v>FPOP2529Q.IUSA_MTAM</v>
      </c>
    </row>
    <row r="1257" spans="3:3" x14ac:dyDescent="0.25">
      <c r="C1257" s="19" t="str">
        <v>FPOP3034Q.IUSA_MTAM</v>
      </c>
    </row>
    <row r="1258" spans="3:3" x14ac:dyDescent="0.25">
      <c r="C1258" s="19" t="str">
        <v>FPOPQ.IUSA_MTAM</v>
      </c>
    </row>
    <row r="1259" spans="3:3" x14ac:dyDescent="0.25">
      <c r="C1259" s="19" t="str">
        <v>FYHHMEDQ.IUSA_MTAM</v>
      </c>
    </row>
    <row r="1260" spans="3:3" x14ac:dyDescent="0.25">
      <c r="C1260" s="19" t="str">
        <v>FET.IUSA_MTAM</v>
      </c>
    </row>
    <row r="1261" spans="3:3" x14ac:dyDescent="0.25">
      <c r="C1261" s="19" t="str">
        <v>FCPIU.IUSA_MTAM</v>
      </c>
    </row>
    <row r="1262" spans="3:3" x14ac:dyDescent="0.25">
      <c r="C1262" s="19" t="str">
        <v>FGDP$Q.IUSA_MTAM</v>
      </c>
    </row>
    <row r="1263" spans="3:3" x14ac:dyDescent="0.25">
      <c r="C1263" s="19" t="str">
        <v>FHPNR.IUSA_MTAM</v>
      </c>
    </row>
    <row r="1264" spans="3:3" x14ac:dyDescent="0.25">
      <c r="C1264" s="19" t="str">
        <v>FHPNM.IUSA_MTAM</v>
      </c>
    </row>
    <row r="1265" spans="3:3" x14ac:dyDescent="0.25">
      <c r="C1265" s="19" t="str">
        <v>FHX1.IUSA_MTAM</v>
      </c>
    </row>
    <row r="1266" spans="3:3" x14ac:dyDescent="0.25">
      <c r="C1266" s="19" t="str">
        <v>FHX1MED.IUSA_MTAM</v>
      </c>
    </row>
    <row r="1267" spans="3:3" x14ac:dyDescent="0.25">
      <c r="C1267" s="19" t="str">
        <v/>
      </c>
    </row>
    <row r="1268" spans="3:3" x14ac:dyDescent="0.25">
      <c r="C1268" s="19" t="str">
        <v/>
      </c>
    </row>
    <row r="1269" spans="3:3" x14ac:dyDescent="0.25">
      <c r="C1269" s="19" t="str">
        <v/>
      </c>
    </row>
    <row r="1270" spans="3:3" x14ac:dyDescent="0.25">
      <c r="C1270" s="19" t="str">
        <v/>
      </c>
    </row>
    <row r="1271" spans="3:3" x14ac:dyDescent="0.25">
      <c r="C1271" s="19" t="str">
        <v/>
      </c>
    </row>
    <row r="1272" spans="3:3" x14ac:dyDescent="0.25">
      <c r="C1272" s="19" t="str">
        <v/>
      </c>
    </row>
    <row r="1273" spans="3:3" x14ac:dyDescent="0.25">
      <c r="C1273" s="19" t="str">
        <v/>
      </c>
    </row>
    <row r="1274" spans="3:3" x14ac:dyDescent="0.25">
      <c r="C1274" s="19" t="str">
        <v/>
      </c>
    </row>
    <row r="1275" spans="3:3" x14ac:dyDescent="0.25">
      <c r="C1275" s="19" t="str">
        <v/>
      </c>
    </row>
    <row r="1276" spans="3:3" x14ac:dyDescent="0.25">
      <c r="C1276" s="19" t="str">
        <v/>
      </c>
    </row>
    <row r="1277" spans="3:3" x14ac:dyDescent="0.25">
      <c r="C1277" s="19" t="str">
        <v/>
      </c>
    </row>
    <row r="1278" spans="3:3" x14ac:dyDescent="0.25">
      <c r="C1278" s="19" t="str">
        <v/>
      </c>
    </row>
    <row r="1279" spans="3:3" x14ac:dyDescent="0.25">
      <c r="C1279" s="19" t="str">
        <v/>
      </c>
    </row>
    <row r="1280" spans="3:3" x14ac:dyDescent="0.25">
      <c r="C1280" s="19" t="str">
        <v/>
      </c>
    </row>
    <row r="1281" spans="3:3" x14ac:dyDescent="0.25">
      <c r="C1281" s="19" t="str">
        <v/>
      </c>
    </row>
    <row r="1282" spans="3:3" x14ac:dyDescent="0.25">
      <c r="C1282" s="19" t="str">
        <v/>
      </c>
    </row>
    <row r="1283" spans="3:3" x14ac:dyDescent="0.25">
      <c r="C1283" s="19" t="str">
        <v/>
      </c>
    </row>
    <row r="1284" spans="3:3" x14ac:dyDescent="0.25">
      <c r="C1284" s="19" t="str">
        <v/>
      </c>
    </row>
    <row r="1285" spans="3:3" x14ac:dyDescent="0.25">
      <c r="C1285" s="19" t="str">
        <v/>
      </c>
    </row>
    <row r="1286" spans="3:3" x14ac:dyDescent="0.25">
      <c r="C1286" s="19" t="str">
        <v/>
      </c>
    </row>
    <row r="1287" spans="3:3" x14ac:dyDescent="0.25">
      <c r="C1287" s="19" t="str">
        <v/>
      </c>
    </row>
    <row r="1288" spans="3:3" x14ac:dyDescent="0.25">
      <c r="C1288" s="19" t="str">
        <v/>
      </c>
    </row>
    <row r="1289" spans="3:3" x14ac:dyDescent="0.25">
      <c r="C1289" s="19" t="str">
        <v/>
      </c>
    </row>
    <row r="1290" spans="3:3" x14ac:dyDescent="0.25">
      <c r="C1290" s="19" t="str">
        <v/>
      </c>
    </row>
    <row r="1291" spans="3:3" x14ac:dyDescent="0.25">
      <c r="C1291" s="19" t="str">
        <v/>
      </c>
    </row>
    <row r="1292" spans="3:3" x14ac:dyDescent="0.25">
      <c r="C1292" s="19" t="str">
        <v/>
      </c>
    </row>
    <row r="1293" spans="3:3" x14ac:dyDescent="0.25">
      <c r="C1293" s="19" t="str">
        <v/>
      </c>
    </row>
    <row r="1294" spans="3:3" x14ac:dyDescent="0.25">
      <c r="C1294" s="19" t="str">
        <v/>
      </c>
    </row>
    <row r="1295" spans="3:3" x14ac:dyDescent="0.25">
      <c r="C1295" s="19" t="str">
        <v/>
      </c>
    </row>
    <row r="1296" spans="3:3" x14ac:dyDescent="0.25">
      <c r="C1296" s="19" t="str">
        <v/>
      </c>
    </row>
    <row r="1297" spans="3:3" x14ac:dyDescent="0.25">
      <c r="C1297" s="19" t="str">
        <v/>
      </c>
    </row>
    <row r="1298" spans="3:3" x14ac:dyDescent="0.25">
      <c r="C1298" s="19" t="str">
        <v/>
      </c>
    </row>
    <row r="1299" spans="3:3" x14ac:dyDescent="0.25">
      <c r="C1299" s="19" t="str">
        <v/>
      </c>
    </row>
    <row r="1300" spans="3:3" x14ac:dyDescent="0.25">
      <c r="C1300" s="19" t="str">
        <v/>
      </c>
    </row>
    <row r="1301" spans="3:3" x14ac:dyDescent="0.25">
      <c r="C1301" s="19" t="str">
        <v/>
      </c>
    </row>
    <row r="1302" spans="3:3" x14ac:dyDescent="0.25">
      <c r="C1302" s="19" t="str">
        <v/>
      </c>
    </row>
    <row r="1303" spans="3:3" x14ac:dyDescent="0.25">
      <c r="C1303" s="19" t="str">
        <v/>
      </c>
    </row>
    <row r="1304" spans="3:3" x14ac:dyDescent="0.25">
      <c r="C1304" s="19" t="str">
        <v>FHHOLDQ.IUSA</v>
      </c>
    </row>
    <row r="1305" spans="3:3" x14ac:dyDescent="0.25">
      <c r="C1305" s="19" t="str">
        <v>FPOP2024Q.IUSA</v>
      </c>
    </row>
    <row r="1306" spans="3:3" x14ac:dyDescent="0.25">
      <c r="C1306" s="19" t="str">
        <v>FPOP2529Q.IUSA</v>
      </c>
    </row>
    <row r="1307" spans="3:3" x14ac:dyDescent="0.25">
      <c r="C1307" s="19" t="str">
        <v>FPOP3034Q.IUSA</v>
      </c>
    </row>
    <row r="1308" spans="3:3" x14ac:dyDescent="0.25">
      <c r="C1308" s="19" t="str">
        <v>FPOPQ.IUSA</v>
      </c>
    </row>
    <row r="1309" spans="3:3" x14ac:dyDescent="0.25">
      <c r="C1309" s="19" t="str">
        <v>FYHHMEDQ.IUSA</v>
      </c>
    </row>
    <row r="1310" spans="3:3" x14ac:dyDescent="0.25">
      <c r="C1310" s="19" t="str">
        <v>FET.IUSA</v>
      </c>
    </row>
    <row r="1311" spans="3:3" x14ac:dyDescent="0.25">
      <c r="C1311" s="19" t="str">
        <v>FCPIU.IUSA</v>
      </c>
    </row>
    <row r="1312" spans="3:3" x14ac:dyDescent="0.25">
      <c r="C1312" s="19" t="str">
        <v>FGDP$Q.IUSA</v>
      </c>
    </row>
    <row r="1313" spans="3:3" x14ac:dyDescent="0.25">
      <c r="C1313" s="19" t="str">
        <v>FHPNR.IUSA</v>
      </c>
    </row>
    <row r="1314" spans="3:3" x14ac:dyDescent="0.25">
      <c r="C1314" s="19" t="str">
        <v>FHPNM.IUSA</v>
      </c>
    </row>
    <row r="1315" spans="3:3" x14ac:dyDescent="0.25">
      <c r="C1315" s="19" t="str">
        <v>FHX1.IUSA</v>
      </c>
    </row>
    <row r="1316" spans="3:3" x14ac:dyDescent="0.25">
      <c r="C1316" s="19" t="str">
        <v>FHX1MED.IUSA</v>
      </c>
    </row>
    <row r="1317" spans="3:3" x14ac:dyDescent="0.25">
      <c r="C1317" s="19" t="str">
        <v/>
      </c>
    </row>
    <row r="1318" spans="3:3" x14ac:dyDescent="0.25">
      <c r="C1318" s="19" t="str">
        <v/>
      </c>
    </row>
    <row r="1319" spans="3:3" x14ac:dyDescent="0.25">
      <c r="C1319" s="19" t="str">
        <v/>
      </c>
    </row>
    <row r="1320" spans="3:3" x14ac:dyDescent="0.25">
      <c r="C1320" s="19" t="str">
        <v/>
      </c>
    </row>
    <row r="1321" spans="3:3" x14ac:dyDescent="0.25">
      <c r="C1321" s="19" t="str">
        <v/>
      </c>
    </row>
    <row r="1322" spans="3:3" x14ac:dyDescent="0.25">
      <c r="C1322" s="19" t="str">
        <v/>
      </c>
    </row>
    <row r="1323" spans="3:3" x14ac:dyDescent="0.25">
      <c r="C1323" s="19" t="str">
        <v/>
      </c>
    </row>
    <row r="1324" spans="3:3" x14ac:dyDescent="0.25">
      <c r="C1324" s="19" t="str">
        <v/>
      </c>
    </row>
    <row r="1325" spans="3:3" x14ac:dyDescent="0.25">
      <c r="C1325" s="19" t="str">
        <v/>
      </c>
    </row>
    <row r="1326" spans="3:3" x14ac:dyDescent="0.25">
      <c r="C1326" s="19" t="str">
        <v/>
      </c>
    </row>
    <row r="1327" spans="3:3" x14ac:dyDescent="0.25">
      <c r="C1327" s="19" t="str">
        <v/>
      </c>
    </row>
    <row r="1328" spans="3:3" x14ac:dyDescent="0.25">
      <c r="C1328" s="19" t="str">
        <v/>
      </c>
    </row>
    <row r="1329" spans="3:3" x14ac:dyDescent="0.25">
      <c r="C1329" s="19" t="str">
        <v/>
      </c>
    </row>
    <row r="1330" spans="3:3" x14ac:dyDescent="0.25">
      <c r="C1330" s="19" t="str">
        <v/>
      </c>
    </row>
    <row r="1331" spans="3:3" x14ac:dyDescent="0.25">
      <c r="C1331" s="19" t="str">
        <v/>
      </c>
    </row>
    <row r="1332" spans="3:3" x14ac:dyDescent="0.25">
      <c r="C1332" s="19" t="str">
        <v/>
      </c>
    </row>
    <row r="1333" spans="3:3" x14ac:dyDescent="0.25">
      <c r="C1333" s="19" t="str">
        <v/>
      </c>
    </row>
    <row r="1334" spans="3:3" x14ac:dyDescent="0.25">
      <c r="C1334" s="19" t="str">
        <v/>
      </c>
    </row>
    <row r="1335" spans="3:3" x14ac:dyDescent="0.25">
      <c r="C1335" s="19" t="str">
        <v/>
      </c>
    </row>
    <row r="1336" spans="3:3" x14ac:dyDescent="0.25">
      <c r="C1336" s="19" t="str">
        <v/>
      </c>
    </row>
    <row r="1337" spans="3:3" x14ac:dyDescent="0.25">
      <c r="C1337" s="19" t="str">
        <v/>
      </c>
    </row>
    <row r="1338" spans="3:3" x14ac:dyDescent="0.25">
      <c r="C1338" s="19" t="str">
        <v/>
      </c>
    </row>
    <row r="1339" spans="3:3" x14ac:dyDescent="0.25">
      <c r="C1339" s="19" t="str">
        <v/>
      </c>
    </row>
    <row r="1340" spans="3:3" x14ac:dyDescent="0.25">
      <c r="C1340" s="19" t="str">
        <v/>
      </c>
    </row>
    <row r="1341" spans="3:3" x14ac:dyDescent="0.25">
      <c r="C1341" s="19" t="str">
        <v/>
      </c>
    </row>
    <row r="1342" spans="3:3" x14ac:dyDescent="0.25">
      <c r="C1342" s="19" t="str">
        <v/>
      </c>
    </row>
    <row r="1343" spans="3:3" x14ac:dyDescent="0.25">
      <c r="C1343" s="19" t="str">
        <v/>
      </c>
    </row>
    <row r="1344" spans="3:3" x14ac:dyDescent="0.25">
      <c r="C1344" s="19" t="str">
        <v/>
      </c>
    </row>
    <row r="1345" spans="3:3" x14ac:dyDescent="0.25">
      <c r="C1345" s="19" t="str">
        <v/>
      </c>
    </row>
    <row r="1346" spans="3:3" x14ac:dyDescent="0.25">
      <c r="C1346" s="19" t="str">
        <v/>
      </c>
    </row>
    <row r="1347" spans="3:3" x14ac:dyDescent="0.25">
      <c r="C1347" s="19" t="str">
        <v/>
      </c>
    </row>
    <row r="1348" spans="3:3" x14ac:dyDescent="0.25">
      <c r="C1348" s="19" t="str">
        <v/>
      </c>
    </row>
    <row r="1349" spans="3:3" x14ac:dyDescent="0.25">
      <c r="C1349" s="19" t="str">
        <v/>
      </c>
    </row>
    <row r="1350" spans="3:3" x14ac:dyDescent="0.25">
      <c r="C1350" s="19" t="str">
        <v/>
      </c>
    </row>
    <row r="1351" spans="3:3" x14ac:dyDescent="0.25">
      <c r="C1351" s="19" t="str">
        <v/>
      </c>
    </row>
    <row r="1352" spans="3:3" x14ac:dyDescent="0.25">
      <c r="C1352" s="19" t="str">
        <v/>
      </c>
    </row>
    <row r="1353" spans="3:3" x14ac:dyDescent="0.25">
      <c r="C1353" s="19" t="str">
        <v/>
      </c>
    </row>
    <row r="1354" spans="3:3" x14ac:dyDescent="0.25">
      <c r="C1354" s="19" t="str">
        <v>FHHOLDQ.IUSA_DMEVE</v>
      </c>
    </row>
    <row r="1355" spans="3:3" x14ac:dyDescent="0.25">
      <c r="C1355" s="19" t="str">
        <v>FPOP2024Q.IUSA_DMEVE</v>
      </c>
    </row>
    <row r="1356" spans="3:3" x14ac:dyDescent="0.25">
      <c r="C1356" s="19" t="str">
        <v>FPOP2529Q.IUSA_DMEVE</v>
      </c>
    </row>
    <row r="1357" spans="3:3" x14ac:dyDescent="0.25">
      <c r="C1357" s="19" t="str">
        <v>FPOP3034Q.IUSA_DMEVE</v>
      </c>
    </row>
    <row r="1358" spans="3:3" x14ac:dyDescent="0.25">
      <c r="C1358" s="19" t="str">
        <v>FPOPQ.IUSA_DMEVE</v>
      </c>
    </row>
    <row r="1359" spans="3:3" x14ac:dyDescent="0.25">
      <c r="C1359" s="19" t="str">
        <v>FYHHMEDQ.IUSA_DMEVE</v>
      </c>
    </row>
    <row r="1360" spans="3:3" x14ac:dyDescent="0.25">
      <c r="C1360" s="19" t="str">
        <v>FET.IUSA_DMEVE</v>
      </c>
    </row>
    <row r="1361" spans="3:3" x14ac:dyDescent="0.25">
      <c r="C1361" s="19" t="str">
        <v>FCPIU.IUSA_DMEVE</v>
      </c>
    </row>
    <row r="1362" spans="3:3" x14ac:dyDescent="0.25">
      <c r="C1362" s="19" t="str">
        <v>FGDP$Q.IUSA_DMEVE</v>
      </c>
    </row>
    <row r="1363" spans="3:3" x14ac:dyDescent="0.25">
      <c r="C1363" s="19" t="str">
        <v>FHPNR.IUSA_DMEVE</v>
      </c>
    </row>
    <row r="1364" spans="3:3" x14ac:dyDescent="0.25">
      <c r="C1364" s="19" t="str">
        <v>FHPNM.IUSA_DMEVE</v>
      </c>
    </row>
    <row r="1365" spans="3:3" x14ac:dyDescent="0.25">
      <c r="C1365" s="19" t="str">
        <v>FHX1.IUSA_DMEVE</v>
      </c>
    </row>
    <row r="1366" spans="3:3" x14ac:dyDescent="0.25">
      <c r="C1366" s="19" t="str">
        <v>FHX1MED.IUSA_DMEVE</v>
      </c>
    </row>
    <row r="1367" spans="3:3" x14ac:dyDescent="0.25">
      <c r="C1367" s="19" t="str">
        <v/>
      </c>
    </row>
    <row r="1368" spans="3:3" x14ac:dyDescent="0.25">
      <c r="C1368" s="19" t="str">
        <v/>
      </c>
    </row>
    <row r="1369" spans="3:3" x14ac:dyDescent="0.25">
      <c r="C1369" s="19" t="str">
        <v/>
      </c>
    </row>
    <row r="1370" spans="3:3" x14ac:dyDescent="0.25">
      <c r="C1370" s="19" t="str">
        <v/>
      </c>
    </row>
    <row r="1371" spans="3:3" x14ac:dyDescent="0.25">
      <c r="C1371" s="19" t="str">
        <v/>
      </c>
    </row>
    <row r="1372" spans="3:3" x14ac:dyDescent="0.25">
      <c r="C1372" s="19" t="str">
        <v/>
      </c>
    </row>
    <row r="1373" spans="3:3" x14ac:dyDescent="0.25">
      <c r="C1373" s="19" t="str">
        <v/>
      </c>
    </row>
    <row r="1374" spans="3:3" x14ac:dyDescent="0.25">
      <c r="C1374" s="19" t="str">
        <v/>
      </c>
    </row>
    <row r="1375" spans="3:3" x14ac:dyDescent="0.25">
      <c r="C1375" s="19" t="str">
        <v/>
      </c>
    </row>
    <row r="1376" spans="3:3" x14ac:dyDescent="0.25">
      <c r="C1376" s="19" t="str">
        <v/>
      </c>
    </row>
    <row r="1377" spans="3:3" x14ac:dyDescent="0.25">
      <c r="C1377" s="19" t="str">
        <v/>
      </c>
    </row>
    <row r="1378" spans="3:3" x14ac:dyDescent="0.25">
      <c r="C1378" s="19" t="str">
        <v/>
      </c>
    </row>
    <row r="1379" spans="3:3" x14ac:dyDescent="0.25">
      <c r="C1379" s="19" t="str">
        <v/>
      </c>
    </row>
    <row r="1380" spans="3:3" x14ac:dyDescent="0.25">
      <c r="C1380" s="19" t="str">
        <v/>
      </c>
    </row>
    <row r="1381" spans="3:3" x14ac:dyDescent="0.25">
      <c r="C1381" s="19" t="str">
        <v/>
      </c>
    </row>
    <row r="1382" spans="3:3" x14ac:dyDescent="0.25">
      <c r="C1382" s="19" t="str">
        <v/>
      </c>
    </row>
    <row r="1383" spans="3:3" x14ac:dyDescent="0.25">
      <c r="C1383" s="19" t="str">
        <v/>
      </c>
    </row>
    <row r="1384" spans="3:3" x14ac:dyDescent="0.25">
      <c r="C1384" s="19" t="str">
        <v/>
      </c>
    </row>
    <row r="1385" spans="3:3" x14ac:dyDescent="0.25">
      <c r="C1385" s="19" t="str">
        <v/>
      </c>
    </row>
    <row r="1386" spans="3:3" x14ac:dyDescent="0.25">
      <c r="C1386" s="19" t="str">
        <v/>
      </c>
    </row>
    <row r="1387" spans="3:3" x14ac:dyDescent="0.25">
      <c r="C1387" s="19" t="str">
        <v/>
      </c>
    </row>
    <row r="1388" spans="3:3" x14ac:dyDescent="0.25">
      <c r="C1388" s="19" t="str">
        <v/>
      </c>
    </row>
    <row r="1389" spans="3:3" x14ac:dyDescent="0.25">
      <c r="C1389" s="19" t="str">
        <v/>
      </c>
    </row>
    <row r="1390" spans="3:3" x14ac:dyDescent="0.25">
      <c r="C1390" s="19" t="str">
        <v/>
      </c>
    </row>
    <row r="1391" spans="3:3" x14ac:dyDescent="0.25">
      <c r="C1391" s="19" t="str">
        <v/>
      </c>
    </row>
    <row r="1392" spans="3:3" x14ac:dyDescent="0.25">
      <c r="C1392" s="19" t="str">
        <v/>
      </c>
    </row>
    <row r="1393" spans="3:3" x14ac:dyDescent="0.25">
      <c r="C1393" s="19" t="str">
        <v/>
      </c>
    </row>
    <row r="1394" spans="3:3" x14ac:dyDescent="0.25">
      <c r="C1394" s="19" t="str">
        <v/>
      </c>
    </row>
    <row r="1395" spans="3:3" x14ac:dyDescent="0.25">
      <c r="C1395" s="19" t="str">
        <v/>
      </c>
    </row>
    <row r="1396" spans="3:3" x14ac:dyDescent="0.25">
      <c r="C1396" s="19" t="str">
        <v/>
      </c>
    </row>
    <row r="1397" spans="3:3" x14ac:dyDescent="0.25">
      <c r="C1397" s="19" t="str">
        <v/>
      </c>
    </row>
    <row r="1398" spans="3:3" x14ac:dyDescent="0.25">
      <c r="C1398" s="19" t="str">
        <v/>
      </c>
    </row>
    <row r="1399" spans="3:3" x14ac:dyDescent="0.25">
      <c r="C1399" s="19" t="str">
        <v/>
      </c>
    </row>
    <row r="1400" spans="3:3" x14ac:dyDescent="0.25">
      <c r="C1400" s="19" t="str">
        <v/>
      </c>
    </row>
    <row r="1401" spans="3:3" x14ac:dyDescent="0.25">
      <c r="C1401" s="19" t="str">
        <v/>
      </c>
    </row>
    <row r="1402" spans="3:3" x14ac:dyDescent="0.25">
      <c r="C1402" s="19" t="str">
        <v/>
      </c>
    </row>
    <row r="1403" spans="3:3" x14ac:dyDescent="0.25">
      <c r="C1403" s="19" t="str">
        <v/>
      </c>
    </row>
    <row r="1404" spans="3:3" x14ac:dyDescent="0.25">
      <c r="C1404" s="19" t="str">
        <v>FHHOLDQ.IUSA_DMSEB</v>
      </c>
    </row>
    <row r="1405" spans="3:3" x14ac:dyDescent="0.25">
      <c r="C1405" s="19" t="str">
        <v>FPOP2024Q.IUSA_DMSEB</v>
      </c>
    </row>
    <row r="1406" spans="3:3" x14ac:dyDescent="0.25">
      <c r="C1406" s="19" t="str">
        <v>FPOP2529Q.IUSA_DMSEB</v>
      </c>
    </row>
    <row r="1407" spans="3:3" x14ac:dyDescent="0.25">
      <c r="C1407" s="19" t="str">
        <v>FPOP3034Q.IUSA_DMSEB</v>
      </c>
    </row>
    <row r="1408" spans="3:3" x14ac:dyDescent="0.25">
      <c r="C1408" s="19" t="str">
        <v>FPOPQ.IUSA_DMSEB</v>
      </c>
    </row>
    <row r="1409" spans="3:3" x14ac:dyDescent="0.25">
      <c r="C1409" s="19" t="str">
        <v>FYHHMEDQ.IUSA_DMSEB</v>
      </c>
    </row>
    <row r="1410" spans="3:3" x14ac:dyDescent="0.25">
      <c r="C1410" s="19" t="str">
        <v>FET.IUSA_DMSEB</v>
      </c>
    </row>
    <row r="1411" spans="3:3" x14ac:dyDescent="0.25">
      <c r="C1411" s="19" t="str">
        <v>FCPIU.IUSA_DMSEB</v>
      </c>
    </row>
    <row r="1412" spans="3:3" x14ac:dyDescent="0.25">
      <c r="C1412" s="19" t="str">
        <v>FGDP$Q.IUSA_DMSEB</v>
      </c>
    </row>
    <row r="1413" spans="3:3" x14ac:dyDescent="0.25">
      <c r="C1413" s="19" t="str">
        <v>FHPNR.IUSA_DMSEB</v>
      </c>
    </row>
    <row r="1414" spans="3:3" x14ac:dyDescent="0.25">
      <c r="C1414" s="19" t="str">
        <v>FHPNM.IUSA_DMSEB</v>
      </c>
    </row>
    <row r="1415" spans="3:3" x14ac:dyDescent="0.25">
      <c r="C1415" s="19" t="str">
        <v>FHX1.IUSA_DMSEB</v>
      </c>
    </row>
    <row r="1416" spans="3:3" x14ac:dyDescent="0.25">
      <c r="C1416" s="19" t="str">
        <v>FHX1MED.IUSA_DMSEB</v>
      </c>
    </row>
    <row r="1417" spans="3:3" x14ac:dyDescent="0.25">
      <c r="C1417" s="19" t="str">
        <v/>
      </c>
    </row>
    <row r="1418" spans="3:3" x14ac:dyDescent="0.25">
      <c r="C1418" s="19" t="str">
        <v/>
      </c>
    </row>
    <row r="1419" spans="3:3" x14ac:dyDescent="0.25">
      <c r="C1419" s="19" t="str">
        <v/>
      </c>
    </row>
    <row r="1420" spans="3:3" x14ac:dyDescent="0.25">
      <c r="C1420" s="19" t="str">
        <v/>
      </c>
    </row>
    <row r="1421" spans="3:3" x14ac:dyDescent="0.25">
      <c r="C1421" s="19" t="str">
        <v/>
      </c>
    </row>
    <row r="1422" spans="3:3" x14ac:dyDescent="0.25">
      <c r="C1422" s="19" t="str">
        <v/>
      </c>
    </row>
    <row r="1423" spans="3:3" x14ac:dyDescent="0.25">
      <c r="C1423" s="19" t="str">
        <v/>
      </c>
    </row>
    <row r="1424" spans="3:3" x14ac:dyDescent="0.25">
      <c r="C1424" s="19" t="str">
        <v/>
      </c>
    </row>
    <row r="1425" spans="3:3" x14ac:dyDescent="0.25">
      <c r="C1425" s="19" t="str">
        <v/>
      </c>
    </row>
    <row r="1426" spans="3:3" x14ac:dyDescent="0.25">
      <c r="C1426" s="19" t="str">
        <v/>
      </c>
    </row>
    <row r="1427" spans="3:3" x14ac:dyDescent="0.25">
      <c r="C1427" s="19" t="str">
        <v/>
      </c>
    </row>
    <row r="1428" spans="3:3" x14ac:dyDescent="0.25">
      <c r="C1428" s="19" t="str">
        <v/>
      </c>
    </row>
    <row r="1429" spans="3:3" x14ac:dyDescent="0.25">
      <c r="C1429" s="19" t="str">
        <v/>
      </c>
    </row>
    <row r="1430" spans="3:3" x14ac:dyDescent="0.25">
      <c r="C1430" s="19" t="str">
        <v/>
      </c>
    </row>
    <row r="1431" spans="3:3" x14ac:dyDescent="0.25">
      <c r="C1431" s="19" t="str">
        <v/>
      </c>
    </row>
    <row r="1432" spans="3:3" x14ac:dyDescent="0.25">
      <c r="C1432" s="19" t="str">
        <v/>
      </c>
    </row>
    <row r="1433" spans="3:3" x14ac:dyDescent="0.25">
      <c r="C1433" s="19" t="str">
        <v/>
      </c>
    </row>
    <row r="1434" spans="3:3" x14ac:dyDescent="0.25">
      <c r="C1434" s="19" t="str">
        <v/>
      </c>
    </row>
    <row r="1435" spans="3:3" x14ac:dyDescent="0.25">
      <c r="C1435" s="19" t="str">
        <v/>
      </c>
    </row>
    <row r="1436" spans="3:3" x14ac:dyDescent="0.25">
      <c r="C1436" s="19" t="str">
        <v/>
      </c>
    </row>
    <row r="1437" spans="3:3" x14ac:dyDescent="0.25">
      <c r="C1437" s="19" t="str">
        <v/>
      </c>
    </row>
    <row r="1438" spans="3:3" x14ac:dyDescent="0.25">
      <c r="C1438" s="19" t="str">
        <v/>
      </c>
    </row>
    <row r="1439" spans="3:3" x14ac:dyDescent="0.25">
      <c r="C1439" s="19" t="str">
        <v/>
      </c>
    </row>
    <row r="1440" spans="3:3" x14ac:dyDescent="0.25">
      <c r="C1440" s="19" t="str">
        <v/>
      </c>
    </row>
    <row r="1441" spans="3:3" x14ac:dyDescent="0.25">
      <c r="C1441" s="19" t="str">
        <v/>
      </c>
    </row>
    <row r="1442" spans="3:3" x14ac:dyDescent="0.25">
      <c r="C1442" s="19" t="str">
        <v/>
      </c>
    </row>
    <row r="1443" spans="3:3" x14ac:dyDescent="0.25">
      <c r="C1443" s="19" t="str">
        <v/>
      </c>
    </row>
    <row r="1444" spans="3:3" x14ac:dyDescent="0.25">
      <c r="C1444" s="19" t="str">
        <v/>
      </c>
    </row>
    <row r="1445" spans="3:3" x14ac:dyDescent="0.25">
      <c r="C1445" s="19" t="str">
        <v/>
      </c>
    </row>
    <row r="1446" spans="3:3" x14ac:dyDescent="0.25">
      <c r="C1446" s="19" t="str">
        <v/>
      </c>
    </row>
    <row r="1447" spans="3:3" x14ac:dyDescent="0.25">
      <c r="C1447" s="19" t="str">
        <v/>
      </c>
    </row>
    <row r="1448" spans="3:3" x14ac:dyDescent="0.25">
      <c r="C1448" s="19" t="str">
        <v/>
      </c>
    </row>
    <row r="1449" spans="3:3" x14ac:dyDescent="0.25">
      <c r="C1449" s="19" t="str">
        <v/>
      </c>
    </row>
    <row r="1450" spans="3:3" x14ac:dyDescent="0.25">
      <c r="C1450" s="19" t="str">
        <v/>
      </c>
    </row>
    <row r="1451" spans="3:3" x14ac:dyDescent="0.25">
      <c r="C1451" s="19" t="str">
        <v/>
      </c>
    </row>
    <row r="1452" spans="3:3" x14ac:dyDescent="0.25">
      <c r="C1452" s="19" t="str">
        <v/>
      </c>
    </row>
    <row r="1453" spans="3:3" x14ac:dyDescent="0.25">
      <c r="C1453" s="19" t="str">
        <v/>
      </c>
    </row>
    <row r="1454" spans="3:3" x14ac:dyDescent="0.25">
      <c r="C1454" s="19" t="str">
        <v>FHHOLDQ.IUSA_DMSAF</v>
      </c>
    </row>
    <row r="1455" spans="3:3" x14ac:dyDescent="0.25">
      <c r="C1455" s="19" t="str">
        <v>FPOP2024Q.IUSA_DMSAF</v>
      </c>
    </row>
    <row r="1456" spans="3:3" x14ac:dyDescent="0.25">
      <c r="C1456" s="19" t="str">
        <v>FPOP2529Q.IUSA_DMSAF</v>
      </c>
    </row>
    <row r="1457" spans="3:3" x14ac:dyDescent="0.25">
      <c r="C1457" s="19" t="str">
        <v>FPOP3034Q.IUSA_DMSAF</v>
      </c>
    </row>
    <row r="1458" spans="3:3" x14ac:dyDescent="0.25">
      <c r="C1458" s="19" t="str">
        <v>FPOPQ.IUSA_DMSAF</v>
      </c>
    </row>
    <row r="1459" spans="3:3" x14ac:dyDescent="0.25">
      <c r="C1459" s="19" t="str">
        <v>FYHHMEDQ.IUSA_DMSAF</v>
      </c>
    </row>
    <row r="1460" spans="3:3" x14ac:dyDescent="0.25">
      <c r="C1460" s="19" t="str">
        <v>FET.IUSA_DMSAF</v>
      </c>
    </row>
    <row r="1461" spans="3:3" x14ac:dyDescent="0.25">
      <c r="C1461" s="19" t="str">
        <v>FCPIU.IUSA_DMSAF</v>
      </c>
    </row>
    <row r="1462" spans="3:3" x14ac:dyDescent="0.25">
      <c r="C1462" s="19" t="str">
        <v>FGDP$Q.IUSA_DMSAF</v>
      </c>
    </row>
    <row r="1463" spans="3:3" x14ac:dyDescent="0.25">
      <c r="C1463" s="19" t="str">
        <v>FHPNR.IUSA_DMSAF</v>
      </c>
    </row>
    <row r="1464" spans="3:3" x14ac:dyDescent="0.25">
      <c r="C1464" s="19" t="str">
        <v>FHPNM.IUSA_DMSAF</v>
      </c>
    </row>
    <row r="1465" spans="3:3" x14ac:dyDescent="0.25">
      <c r="C1465" s="19" t="str">
        <v>FHX1.IUSA_DMSAF</v>
      </c>
    </row>
    <row r="1466" spans="3:3" x14ac:dyDescent="0.25">
      <c r="C1466" s="19" t="str">
        <v>FHX1MED.IUSA_DMSAF</v>
      </c>
    </row>
    <row r="1467" spans="3:3" x14ac:dyDescent="0.25">
      <c r="C1467" s="19" t="str">
        <v/>
      </c>
    </row>
    <row r="1468" spans="3:3" x14ac:dyDescent="0.25">
      <c r="C1468" s="19" t="str">
        <v/>
      </c>
    </row>
    <row r="1469" spans="3:3" x14ac:dyDescent="0.25">
      <c r="C1469" s="19" t="str">
        <v/>
      </c>
    </row>
    <row r="1470" spans="3:3" x14ac:dyDescent="0.25">
      <c r="C1470" s="19" t="str">
        <v/>
      </c>
    </row>
    <row r="1471" spans="3:3" x14ac:dyDescent="0.25">
      <c r="C1471" s="19" t="str">
        <v/>
      </c>
    </row>
    <row r="1472" spans="3:3" x14ac:dyDescent="0.25">
      <c r="C1472" s="19" t="str">
        <v/>
      </c>
    </row>
    <row r="1473" spans="3:3" x14ac:dyDescent="0.25">
      <c r="C1473" s="19" t="str">
        <v/>
      </c>
    </row>
    <row r="1474" spans="3:3" x14ac:dyDescent="0.25">
      <c r="C1474" s="19" t="str">
        <v/>
      </c>
    </row>
    <row r="1475" spans="3:3" x14ac:dyDescent="0.25">
      <c r="C1475" s="19" t="str">
        <v/>
      </c>
    </row>
    <row r="1476" spans="3:3" x14ac:dyDescent="0.25">
      <c r="C1476" s="19" t="str">
        <v/>
      </c>
    </row>
    <row r="1477" spans="3:3" x14ac:dyDescent="0.25">
      <c r="C1477" s="19" t="str">
        <v/>
      </c>
    </row>
    <row r="1478" spans="3:3" x14ac:dyDescent="0.25">
      <c r="C1478" s="19" t="str">
        <v/>
      </c>
    </row>
    <row r="1479" spans="3:3" x14ac:dyDescent="0.25">
      <c r="C1479" s="19" t="str">
        <v/>
      </c>
    </row>
    <row r="1480" spans="3:3" x14ac:dyDescent="0.25">
      <c r="C1480" s="19" t="str">
        <v/>
      </c>
    </row>
    <row r="1481" spans="3:3" x14ac:dyDescent="0.25">
      <c r="C1481" s="19" t="str">
        <v/>
      </c>
    </row>
    <row r="1482" spans="3:3" x14ac:dyDescent="0.25">
      <c r="C1482" s="19" t="str">
        <v/>
      </c>
    </row>
    <row r="1483" spans="3:3" x14ac:dyDescent="0.25">
      <c r="C1483" s="19" t="str">
        <v/>
      </c>
    </row>
    <row r="1484" spans="3:3" x14ac:dyDescent="0.25">
      <c r="C1484" s="19" t="str">
        <v/>
      </c>
    </row>
    <row r="1485" spans="3:3" x14ac:dyDescent="0.25">
      <c r="C1485" s="19" t="str">
        <v/>
      </c>
    </row>
    <row r="1486" spans="3:3" x14ac:dyDescent="0.25">
      <c r="C1486" s="19" t="str">
        <v/>
      </c>
    </row>
    <row r="1487" spans="3:3" x14ac:dyDescent="0.25">
      <c r="C1487" s="19" t="str">
        <v/>
      </c>
    </row>
    <row r="1488" spans="3:3" x14ac:dyDescent="0.25">
      <c r="C1488" s="19" t="str">
        <v/>
      </c>
    </row>
    <row r="1489" spans="3:3" x14ac:dyDescent="0.25">
      <c r="C1489" s="19" t="str">
        <v/>
      </c>
    </row>
    <row r="1490" spans="3:3" x14ac:dyDescent="0.25">
      <c r="C1490" s="19" t="str">
        <v/>
      </c>
    </row>
    <row r="1491" spans="3:3" x14ac:dyDescent="0.25">
      <c r="C1491" s="19" t="str">
        <v/>
      </c>
    </row>
    <row r="1492" spans="3:3" x14ac:dyDescent="0.25">
      <c r="C1492" s="19" t="str">
        <v/>
      </c>
    </row>
    <row r="1493" spans="3:3" x14ac:dyDescent="0.25">
      <c r="C1493" s="19" t="str">
        <v/>
      </c>
    </row>
    <row r="1494" spans="3:3" x14ac:dyDescent="0.25">
      <c r="C1494" s="19" t="str">
        <v/>
      </c>
    </row>
    <row r="1495" spans="3:3" x14ac:dyDescent="0.25">
      <c r="C1495" s="19" t="str">
        <v/>
      </c>
    </row>
    <row r="1496" spans="3:3" x14ac:dyDescent="0.25">
      <c r="C1496" s="19" t="str">
        <v/>
      </c>
    </row>
    <row r="1497" spans="3:3" x14ac:dyDescent="0.25">
      <c r="C1497" s="19" t="str">
        <v/>
      </c>
    </row>
    <row r="1498" spans="3:3" x14ac:dyDescent="0.25">
      <c r="C1498" s="19" t="str">
        <v/>
      </c>
    </row>
    <row r="1499" spans="3:3" x14ac:dyDescent="0.25">
      <c r="C1499" s="19" t="str">
        <v/>
      </c>
    </row>
    <row r="1500" spans="3:3" x14ac:dyDescent="0.25">
      <c r="C1500" s="19" t="str">
        <v/>
      </c>
    </row>
    <row r="1501" spans="3:3" x14ac:dyDescent="0.25">
      <c r="C1501" s="19" t="str">
        <v/>
      </c>
    </row>
    <row r="1502" spans="3:3" x14ac:dyDescent="0.25">
      <c r="C1502" s="19" t="str">
        <v/>
      </c>
    </row>
    <row r="1503" spans="3:3" x14ac:dyDescent="0.25">
      <c r="C1503" s="19" t="str">
        <v/>
      </c>
    </row>
    <row r="1504" spans="3:3" x14ac:dyDescent="0.25">
      <c r="C1504" s="19" t="str">
        <v>FHHOLDQ.IUSA_DMSRF</v>
      </c>
    </row>
    <row r="1505" spans="3:3" x14ac:dyDescent="0.25">
      <c r="C1505" s="19" t="str">
        <v>FPOP2024Q.IUSA_DMSRF</v>
      </c>
    </row>
    <row r="1506" spans="3:3" x14ac:dyDescent="0.25">
      <c r="C1506" s="19" t="str">
        <v>FPOP2529Q.IUSA_DMSRF</v>
      </c>
    </row>
    <row r="1507" spans="3:3" x14ac:dyDescent="0.25">
      <c r="C1507" s="19" t="str">
        <v>FPOP3034Q.IUSA_DMSRF</v>
      </c>
    </row>
    <row r="1508" spans="3:3" x14ac:dyDescent="0.25">
      <c r="C1508" s="19" t="str">
        <v>FPOPQ.IUSA_DMSRF</v>
      </c>
    </row>
    <row r="1509" spans="3:3" x14ac:dyDescent="0.25">
      <c r="C1509" s="19" t="str">
        <v>FYHHMEDQ.IUSA_DMSRF</v>
      </c>
    </row>
    <row r="1510" spans="3:3" x14ac:dyDescent="0.25">
      <c r="C1510" s="19" t="str">
        <v>FET.IUSA_DMSRF</v>
      </c>
    </row>
    <row r="1511" spans="3:3" x14ac:dyDescent="0.25">
      <c r="C1511" s="19" t="str">
        <v>FCPIU.IUSA_DMSRF</v>
      </c>
    </row>
    <row r="1512" spans="3:3" x14ac:dyDescent="0.25">
      <c r="C1512" s="19" t="str">
        <v>FGDP$Q.IUSA_DMSRF</v>
      </c>
    </row>
    <row r="1513" spans="3:3" x14ac:dyDescent="0.25">
      <c r="C1513" s="19" t="str">
        <v>FHPNR.IUSA_DMSRF</v>
      </c>
    </row>
    <row r="1514" spans="3:3" x14ac:dyDescent="0.25">
      <c r="C1514" s="19" t="str">
        <v>FHPNM.IUSA_DMSRF</v>
      </c>
    </row>
    <row r="1515" spans="3:3" x14ac:dyDescent="0.25">
      <c r="C1515" s="19" t="str">
        <v>FHX1.IUSA_DMSRF</v>
      </c>
    </row>
    <row r="1516" spans="3:3" x14ac:dyDescent="0.25">
      <c r="C1516" s="19" t="str">
        <v>FHX1MED.IUSA_DMSRF</v>
      </c>
    </row>
    <row r="1517" spans="3:3" x14ac:dyDescent="0.25">
      <c r="C1517" s="19" t="str">
        <v/>
      </c>
    </row>
    <row r="1518" spans="3:3" x14ac:dyDescent="0.25">
      <c r="C1518" s="19" t="str">
        <v/>
      </c>
    </row>
    <row r="1519" spans="3:3" x14ac:dyDescent="0.25">
      <c r="C1519" s="19" t="str">
        <v/>
      </c>
    </row>
    <row r="1520" spans="3:3" x14ac:dyDescent="0.25">
      <c r="C1520" s="19" t="str">
        <v/>
      </c>
    </row>
    <row r="1521" spans="3:3" x14ac:dyDescent="0.25">
      <c r="C1521" s="19" t="str">
        <v/>
      </c>
    </row>
    <row r="1522" spans="3:3" x14ac:dyDescent="0.25">
      <c r="C1522" s="19" t="str">
        <v/>
      </c>
    </row>
    <row r="1523" spans="3:3" x14ac:dyDescent="0.25">
      <c r="C1523" s="19" t="str">
        <v/>
      </c>
    </row>
    <row r="1524" spans="3:3" x14ac:dyDescent="0.25">
      <c r="C1524" s="19" t="str">
        <v/>
      </c>
    </row>
    <row r="1525" spans="3:3" x14ac:dyDescent="0.25">
      <c r="C1525" s="19" t="str">
        <v/>
      </c>
    </row>
    <row r="1526" spans="3:3" x14ac:dyDescent="0.25">
      <c r="C1526" s="19" t="str">
        <v/>
      </c>
    </row>
    <row r="1527" spans="3:3" x14ac:dyDescent="0.25">
      <c r="C1527" s="19" t="str">
        <v/>
      </c>
    </row>
    <row r="1528" spans="3:3" x14ac:dyDescent="0.25">
      <c r="C1528" s="19" t="str">
        <v/>
      </c>
    </row>
    <row r="1529" spans="3:3" x14ac:dyDescent="0.25">
      <c r="C1529" s="19" t="str">
        <v/>
      </c>
    </row>
    <row r="1530" spans="3:3" x14ac:dyDescent="0.25">
      <c r="C1530" s="19" t="str">
        <v/>
      </c>
    </row>
    <row r="1531" spans="3:3" x14ac:dyDescent="0.25">
      <c r="C1531" s="19" t="str">
        <v/>
      </c>
    </row>
    <row r="1532" spans="3:3" x14ac:dyDescent="0.25">
      <c r="C1532" s="19" t="str">
        <v/>
      </c>
    </row>
    <row r="1533" spans="3:3" x14ac:dyDescent="0.25">
      <c r="C1533" s="19" t="str">
        <v/>
      </c>
    </row>
    <row r="1534" spans="3:3" x14ac:dyDescent="0.25">
      <c r="C1534" s="19" t="str">
        <v/>
      </c>
    </row>
    <row r="1535" spans="3:3" x14ac:dyDescent="0.25">
      <c r="C1535" s="19" t="str">
        <v/>
      </c>
    </row>
    <row r="1536" spans="3:3" x14ac:dyDescent="0.25">
      <c r="C1536" s="19" t="str">
        <v/>
      </c>
    </row>
    <row r="1537" spans="3:3" x14ac:dyDescent="0.25">
      <c r="C1537" s="19" t="str">
        <v/>
      </c>
    </row>
    <row r="1538" spans="3:3" x14ac:dyDescent="0.25">
      <c r="C1538" s="19" t="str">
        <v/>
      </c>
    </row>
    <row r="1539" spans="3:3" x14ac:dyDescent="0.25">
      <c r="C1539" s="19" t="str">
        <v/>
      </c>
    </row>
    <row r="1540" spans="3:3" x14ac:dyDescent="0.25">
      <c r="C1540" s="19" t="str">
        <v/>
      </c>
    </row>
    <row r="1541" spans="3:3" x14ac:dyDescent="0.25">
      <c r="C1541" s="19" t="str">
        <v/>
      </c>
    </row>
    <row r="1542" spans="3:3" x14ac:dyDescent="0.25">
      <c r="C1542" s="19" t="str">
        <v/>
      </c>
    </row>
    <row r="1543" spans="3:3" x14ac:dyDescent="0.25">
      <c r="C1543" s="19" t="str">
        <v/>
      </c>
    </row>
    <row r="1544" spans="3:3" x14ac:dyDescent="0.25">
      <c r="C1544" s="19" t="str">
        <v/>
      </c>
    </row>
    <row r="1545" spans="3:3" x14ac:dyDescent="0.25">
      <c r="C1545" s="19" t="str">
        <v/>
      </c>
    </row>
    <row r="1546" spans="3:3" x14ac:dyDescent="0.25">
      <c r="C1546" s="19" t="str">
        <v/>
      </c>
    </row>
    <row r="1547" spans="3:3" x14ac:dyDescent="0.25">
      <c r="C1547" s="19" t="str">
        <v/>
      </c>
    </row>
    <row r="1548" spans="3:3" x14ac:dyDescent="0.25">
      <c r="C1548" s="19" t="str">
        <v/>
      </c>
    </row>
    <row r="1549" spans="3:3" x14ac:dyDescent="0.25">
      <c r="C1549" s="19" t="str">
        <v/>
      </c>
    </row>
    <row r="1550" spans="3:3" x14ac:dyDescent="0.25">
      <c r="C1550" s="19" t="str">
        <v/>
      </c>
    </row>
    <row r="1551" spans="3:3" x14ac:dyDescent="0.25">
      <c r="C1551" s="19" t="str">
        <v/>
      </c>
    </row>
    <row r="1552" spans="3:3" x14ac:dyDescent="0.25">
      <c r="C1552" s="19" t="str">
        <v/>
      </c>
    </row>
    <row r="1553" spans="3:3" x14ac:dyDescent="0.25">
      <c r="C1553" s="19" t="str">
        <v/>
      </c>
    </row>
    <row r="1554" spans="3:3" x14ac:dyDescent="0.25">
      <c r="C1554" s="19" t="str">
        <v>FHHOLDQ.IUSA_MRAL</v>
      </c>
    </row>
    <row r="1555" spans="3:3" x14ac:dyDescent="0.25">
      <c r="C1555" s="19" t="str">
        <v>FPOP2024Q.IUSA_MRAL</v>
      </c>
    </row>
    <row r="1556" spans="3:3" x14ac:dyDescent="0.25">
      <c r="C1556" s="19" t="str">
        <v>FPOP2529Q.IUSA_MRAL</v>
      </c>
    </row>
    <row r="1557" spans="3:3" x14ac:dyDescent="0.25">
      <c r="C1557" s="19" t="str">
        <v>FPOP3034Q.IUSA_MRAL</v>
      </c>
    </row>
    <row r="1558" spans="3:3" x14ac:dyDescent="0.25">
      <c r="C1558" s="19" t="str">
        <v>FPOPQ.IUSA_MRAL</v>
      </c>
    </row>
    <row r="1559" spans="3:3" x14ac:dyDescent="0.25">
      <c r="C1559" s="19" t="str">
        <v>FYHHMEDQ.IUSA_MRAL</v>
      </c>
    </row>
    <row r="1560" spans="3:3" x14ac:dyDescent="0.25">
      <c r="C1560" s="19" t="str">
        <v>FET.IUSA_MRAL</v>
      </c>
    </row>
    <row r="1561" spans="3:3" x14ac:dyDescent="0.25">
      <c r="C1561" s="19" t="str">
        <v>FCPIU.IUSA_MRAL</v>
      </c>
    </row>
    <row r="1562" spans="3:3" x14ac:dyDescent="0.25">
      <c r="C1562" s="19" t="str">
        <v>FGDP$Q.IUSA_MRAL</v>
      </c>
    </row>
    <row r="1563" spans="3:3" x14ac:dyDescent="0.25">
      <c r="C1563" s="19" t="str">
        <v>FHPNR.IUSA_MRAL</v>
      </c>
    </row>
    <row r="1564" spans="3:3" x14ac:dyDescent="0.25">
      <c r="C1564" s="19" t="str">
        <v>FHPNM.IUSA_MRAL</v>
      </c>
    </row>
    <row r="1565" spans="3:3" x14ac:dyDescent="0.25">
      <c r="C1565" s="19" t="str">
        <v>FHX1.IUSA_MRAL</v>
      </c>
    </row>
    <row r="1566" spans="3:3" x14ac:dyDescent="0.25">
      <c r="C1566" s="19" t="str">
        <v>FHX1MED.IUSA_MRAL</v>
      </c>
    </row>
    <row r="1567" spans="3:3" x14ac:dyDescent="0.25">
      <c r="C1567" s="19" t="str">
        <v/>
      </c>
    </row>
    <row r="1568" spans="3:3" x14ac:dyDescent="0.25">
      <c r="C1568" s="19" t="str">
        <v/>
      </c>
    </row>
    <row r="1569" spans="3:3" x14ac:dyDescent="0.25">
      <c r="C1569" s="19" t="str">
        <v/>
      </c>
    </row>
    <row r="1570" spans="3:3" x14ac:dyDescent="0.25">
      <c r="C1570" s="19" t="str">
        <v/>
      </c>
    </row>
    <row r="1571" spans="3:3" x14ac:dyDescent="0.25">
      <c r="C1571" s="19" t="str">
        <v/>
      </c>
    </row>
    <row r="1572" spans="3:3" x14ac:dyDescent="0.25">
      <c r="C1572" s="19" t="str">
        <v/>
      </c>
    </row>
    <row r="1573" spans="3:3" x14ac:dyDescent="0.25">
      <c r="C1573" s="19" t="str">
        <v/>
      </c>
    </row>
    <row r="1574" spans="3:3" x14ac:dyDescent="0.25">
      <c r="C1574" s="19" t="str">
        <v/>
      </c>
    </row>
    <row r="1575" spans="3:3" x14ac:dyDescent="0.25">
      <c r="C1575" s="19" t="str">
        <v/>
      </c>
    </row>
    <row r="1576" spans="3:3" x14ac:dyDescent="0.25">
      <c r="C1576" s="19" t="str">
        <v/>
      </c>
    </row>
    <row r="1577" spans="3:3" x14ac:dyDescent="0.25">
      <c r="C1577" s="19" t="str">
        <v/>
      </c>
    </row>
    <row r="1578" spans="3:3" x14ac:dyDescent="0.25">
      <c r="C1578" s="19" t="str">
        <v/>
      </c>
    </row>
    <row r="1579" spans="3:3" x14ac:dyDescent="0.25">
      <c r="C1579" s="19" t="str">
        <v/>
      </c>
    </row>
    <row r="1580" spans="3:3" x14ac:dyDescent="0.25">
      <c r="C1580" s="19" t="str">
        <v/>
      </c>
    </row>
    <row r="1581" spans="3:3" x14ac:dyDescent="0.25">
      <c r="C1581" s="19" t="str">
        <v/>
      </c>
    </row>
    <row r="1582" spans="3:3" x14ac:dyDescent="0.25">
      <c r="C1582" s="19" t="str">
        <v/>
      </c>
    </row>
    <row r="1583" spans="3:3" x14ac:dyDescent="0.25">
      <c r="C1583" s="19" t="str">
        <v/>
      </c>
    </row>
    <row r="1584" spans="3:3" x14ac:dyDescent="0.25">
      <c r="C1584" s="19" t="str">
        <v/>
      </c>
    </row>
    <row r="1585" spans="3:3" x14ac:dyDescent="0.25">
      <c r="C1585" s="19" t="str">
        <v/>
      </c>
    </row>
    <row r="1586" spans="3:3" x14ac:dyDescent="0.25">
      <c r="C1586" s="19" t="str">
        <v/>
      </c>
    </row>
    <row r="1587" spans="3:3" x14ac:dyDescent="0.25">
      <c r="C1587" s="19" t="str">
        <v/>
      </c>
    </row>
    <row r="1588" spans="3:3" x14ac:dyDescent="0.25">
      <c r="C1588" s="19" t="str">
        <v/>
      </c>
    </row>
    <row r="1589" spans="3:3" x14ac:dyDescent="0.25">
      <c r="C1589" s="19" t="str">
        <v/>
      </c>
    </row>
    <row r="1590" spans="3:3" x14ac:dyDescent="0.25">
      <c r="C1590" s="19" t="str">
        <v/>
      </c>
    </row>
    <row r="1591" spans="3:3" x14ac:dyDescent="0.25">
      <c r="C1591" s="19" t="str">
        <v/>
      </c>
    </row>
    <row r="1592" spans="3:3" x14ac:dyDescent="0.25">
      <c r="C1592" s="19" t="str">
        <v/>
      </c>
    </row>
    <row r="1593" spans="3:3" x14ac:dyDescent="0.25">
      <c r="C1593" s="19" t="str">
        <v/>
      </c>
    </row>
    <row r="1594" spans="3:3" x14ac:dyDescent="0.25">
      <c r="C1594" s="19" t="str">
        <v/>
      </c>
    </row>
    <row r="1595" spans="3:3" x14ac:dyDescent="0.25">
      <c r="C1595" s="19" t="str">
        <v/>
      </c>
    </row>
    <row r="1596" spans="3:3" x14ac:dyDescent="0.25">
      <c r="C1596" s="19" t="str">
        <v/>
      </c>
    </row>
    <row r="1597" spans="3:3" x14ac:dyDescent="0.25">
      <c r="C1597" s="19" t="str">
        <v/>
      </c>
    </row>
    <row r="1598" spans="3:3" x14ac:dyDescent="0.25">
      <c r="C1598" s="19" t="str">
        <v/>
      </c>
    </row>
    <row r="1599" spans="3:3" x14ac:dyDescent="0.25">
      <c r="C1599" s="19" t="str">
        <v/>
      </c>
    </row>
    <row r="1600" spans="3:3" x14ac:dyDescent="0.25">
      <c r="C1600" s="19" t="str">
        <v/>
      </c>
    </row>
    <row r="1601" spans="3:3" x14ac:dyDescent="0.25">
      <c r="C1601" s="19" t="str">
        <v/>
      </c>
    </row>
    <row r="1602" spans="3:3" x14ac:dyDescent="0.25">
      <c r="C1602" s="19" t="str">
        <v/>
      </c>
    </row>
    <row r="1603" spans="3:3" x14ac:dyDescent="0.25">
      <c r="C1603" s="19" t="str">
        <v/>
      </c>
    </row>
    <row r="1604" spans="3:3" x14ac:dyDescent="0.25">
      <c r="C1604" s="19" t="str">
        <v>FHHOLDQ.IUSA_MDUR</v>
      </c>
    </row>
    <row r="1605" spans="3:3" x14ac:dyDescent="0.25">
      <c r="C1605" s="19" t="str">
        <v>FPOP2024Q.IUSA_MDUR</v>
      </c>
    </row>
    <row r="1606" spans="3:3" x14ac:dyDescent="0.25">
      <c r="C1606" s="19" t="str">
        <v>FPOP2529Q.IUSA_MDUR</v>
      </c>
    </row>
    <row r="1607" spans="3:3" x14ac:dyDescent="0.25">
      <c r="C1607" s="19" t="str">
        <v>FPOP3034Q.IUSA_MDUR</v>
      </c>
    </row>
    <row r="1608" spans="3:3" x14ac:dyDescent="0.25">
      <c r="C1608" s="19" t="str">
        <v>FPOPQ.IUSA_MDUR</v>
      </c>
    </row>
    <row r="1609" spans="3:3" x14ac:dyDescent="0.25">
      <c r="C1609" s="19" t="str">
        <v>FYHHMEDQ.IUSA_MDUR</v>
      </c>
    </row>
    <row r="1610" spans="3:3" x14ac:dyDescent="0.25">
      <c r="C1610" s="19" t="str">
        <v>FET.IUSA_MDUR</v>
      </c>
    </row>
    <row r="1611" spans="3:3" x14ac:dyDescent="0.25">
      <c r="C1611" s="19" t="str">
        <v>FCPIU.IUSA_MDUR</v>
      </c>
    </row>
    <row r="1612" spans="3:3" x14ac:dyDescent="0.25">
      <c r="C1612" s="19" t="str">
        <v>FGDP$Q.IUSA_MDUR</v>
      </c>
    </row>
    <row r="1613" spans="3:3" x14ac:dyDescent="0.25">
      <c r="C1613" s="19" t="str">
        <v>FHPNR.IUSA_MDUR</v>
      </c>
    </row>
    <row r="1614" spans="3:3" x14ac:dyDescent="0.25">
      <c r="C1614" s="19" t="str">
        <v>FHPNM.IUSA_MDUR</v>
      </c>
    </row>
    <row r="1615" spans="3:3" x14ac:dyDescent="0.25">
      <c r="C1615" s="19" t="str">
        <v>FHX1.IUSA_MDUR</v>
      </c>
    </row>
    <row r="1616" spans="3:3" x14ac:dyDescent="0.25">
      <c r="C1616" s="19" t="str">
        <v>FHX1MED.IUSA_MDUR</v>
      </c>
    </row>
    <row r="1617" spans="3:3" x14ac:dyDescent="0.25">
      <c r="C1617" s="19" t="str">
        <v/>
      </c>
    </row>
    <row r="1618" spans="3:3" x14ac:dyDescent="0.25">
      <c r="C1618" s="19" t="str">
        <v/>
      </c>
    </row>
    <row r="1619" spans="3:3" x14ac:dyDescent="0.25">
      <c r="C1619" s="19" t="str">
        <v/>
      </c>
    </row>
    <row r="1620" spans="3:3" x14ac:dyDescent="0.25">
      <c r="C1620" s="19" t="str">
        <v/>
      </c>
    </row>
    <row r="1621" spans="3:3" x14ac:dyDescent="0.25">
      <c r="C1621" s="19" t="str">
        <v/>
      </c>
    </row>
    <row r="1622" spans="3:3" x14ac:dyDescent="0.25">
      <c r="C1622" s="19" t="str">
        <v/>
      </c>
    </row>
    <row r="1623" spans="3:3" x14ac:dyDescent="0.25">
      <c r="C1623" s="19" t="str">
        <v/>
      </c>
    </row>
    <row r="1624" spans="3:3" x14ac:dyDescent="0.25">
      <c r="C1624" s="19" t="str">
        <v/>
      </c>
    </row>
    <row r="1625" spans="3:3" x14ac:dyDescent="0.25">
      <c r="C1625" s="19" t="str">
        <v/>
      </c>
    </row>
    <row r="1626" spans="3:3" x14ac:dyDescent="0.25">
      <c r="C1626" s="19" t="str">
        <v/>
      </c>
    </row>
    <row r="1627" spans="3:3" x14ac:dyDescent="0.25">
      <c r="C1627" s="19" t="str">
        <v/>
      </c>
    </row>
    <row r="1628" spans="3:3" x14ac:dyDescent="0.25">
      <c r="C1628" s="19" t="str">
        <v/>
      </c>
    </row>
    <row r="1629" spans="3:3" x14ac:dyDescent="0.25">
      <c r="C1629" s="19" t="str">
        <v/>
      </c>
    </row>
    <row r="1630" spans="3:3" x14ac:dyDescent="0.25">
      <c r="C1630" s="19" t="str">
        <v/>
      </c>
    </row>
    <row r="1631" spans="3:3" x14ac:dyDescent="0.25">
      <c r="C1631" s="19" t="str">
        <v/>
      </c>
    </row>
    <row r="1632" spans="3:3" x14ac:dyDescent="0.25">
      <c r="C1632" s="19" t="str">
        <v/>
      </c>
    </row>
    <row r="1633" spans="3:3" x14ac:dyDescent="0.25">
      <c r="C1633" s="19" t="str">
        <v/>
      </c>
    </row>
    <row r="1634" spans="3:3" x14ac:dyDescent="0.25">
      <c r="C1634" s="19" t="str">
        <v/>
      </c>
    </row>
    <row r="1635" spans="3:3" x14ac:dyDescent="0.25">
      <c r="C1635" s="19" t="str">
        <v/>
      </c>
    </row>
    <row r="1636" spans="3:3" x14ac:dyDescent="0.25">
      <c r="C1636" s="19" t="str">
        <v/>
      </c>
    </row>
    <row r="1637" spans="3:3" x14ac:dyDescent="0.25">
      <c r="C1637" s="19" t="str">
        <v/>
      </c>
    </row>
    <row r="1638" spans="3:3" x14ac:dyDescent="0.25">
      <c r="C1638" s="19" t="str">
        <v/>
      </c>
    </row>
    <row r="1639" spans="3:3" x14ac:dyDescent="0.25">
      <c r="C1639" s="19" t="str">
        <v/>
      </c>
    </row>
    <row r="1640" spans="3:3" x14ac:dyDescent="0.25">
      <c r="C1640" s="19" t="str">
        <v/>
      </c>
    </row>
    <row r="1641" spans="3:3" x14ac:dyDescent="0.25">
      <c r="C1641" s="19" t="str">
        <v/>
      </c>
    </row>
    <row r="1642" spans="3:3" x14ac:dyDescent="0.25">
      <c r="C1642" s="19" t="str">
        <v/>
      </c>
    </row>
    <row r="1643" spans="3:3" x14ac:dyDescent="0.25">
      <c r="C1643" s="19" t="str">
        <v/>
      </c>
    </row>
    <row r="1644" spans="3:3" x14ac:dyDescent="0.25">
      <c r="C1644" s="19" t="str">
        <v/>
      </c>
    </row>
    <row r="1645" spans="3:3" x14ac:dyDescent="0.25">
      <c r="C1645" s="19" t="str">
        <v/>
      </c>
    </row>
    <row r="1646" spans="3:3" x14ac:dyDescent="0.25">
      <c r="C1646" s="19" t="str">
        <v/>
      </c>
    </row>
    <row r="1647" spans="3:3" x14ac:dyDescent="0.25">
      <c r="C1647" s="19" t="str">
        <v/>
      </c>
    </row>
    <row r="1648" spans="3:3" x14ac:dyDescent="0.25">
      <c r="C1648" s="19" t="str">
        <v/>
      </c>
    </row>
    <row r="1649" spans="3:3" x14ac:dyDescent="0.25">
      <c r="C1649" s="19" t="str">
        <v/>
      </c>
    </row>
    <row r="1650" spans="3:3" x14ac:dyDescent="0.25">
      <c r="C1650" s="19" t="str">
        <v/>
      </c>
    </row>
    <row r="1651" spans="3:3" x14ac:dyDescent="0.25">
      <c r="C1651" s="19" t="str">
        <v/>
      </c>
    </row>
    <row r="1652" spans="3:3" x14ac:dyDescent="0.25">
      <c r="C1652" s="19" t="str">
        <v/>
      </c>
    </row>
    <row r="1653" spans="3:3" x14ac:dyDescent="0.25">
      <c r="C1653" s="19" t="str">
        <v/>
      </c>
    </row>
    <row r="1654" spans="3:3" x14ac:dyDescent="0.25">
      <c r="C1654" s="19" t="str">
        <v/>
      </c>
    </row>
    <row r="1655" spans="3:3" x14ac:dyDescent="0.25">
      <c r="C1655" s="19" t="str">
        <v/>
      </c>
    </row>
    <row r="1656" spans="3:3" x14ac:dyDescent="0.25">
      <c r="C1656" s="19" t="str">
        <v/>
      </c>
    </row>
    <row r="1657" spans="3:3" x14ac:dyDescent="0.25">
      <c r="C1657" s="19" t="str">
        <v/>
      </c>
    </row>
    <row r="1658" spans="3:3" x14ac:dyDescent="0.25">
      <c r="C1658" s="19" t="str">
        <v/>
      </c>
    </row>
    <row r="1659" spans="3:3" x14ac:dyDescent="0.25">
      <c r="C1659" s="19" t="str">
        <v/>
      </c>
    </row>
    <row r="1660" spans="3:3" x14ac:dyDescent="0.25">
      <c r="C1660" s="19" t="str">
        <v/>
      </c>
    </row>
    <row r="1661" spans="3:3" x14ac:dyDescent="0.25">
      <c r="C1661" s="19" t="str">
        <v/>
      </c>
    </row>
    <row r="1662" spans="3:3" x14ac:dyDescent="0.25">
      <c r="C1662" s="19" t="str">
        <v/>
      </c>
    </row>
    <row r="1663" spans="3:3" x14ac:dyDescent="0.25">
      <c r="C1663" s="19" t="str">
        <v/>
      </c>
    </row>
    <row r="1664" spans="3:3" x14ac:dyDescent="0.25">
      <c r="C1664" s="19" t="str">
        <v/>
      </c>
    </row>
    <row r="1665" spans="3:3" x14ac:dyDescent="0.25">
      <c r="C1665" s="19" t="str">
        <v/>
      </c>
    </row>
    <row r="1666" spans="3:3" x14ac:dyDescent="0.25">
      <c r="C1666" s="19" t="str">
        <v/>
      </c>
    </row>
    <row r="1667" spans="3:3" x14ac:dyDescent="0.25">
      <c r="C1667" s="19" t="str">
        <v/>
      </c>
    </row>
    <row r="1668" spans="3:3" x14ac:dyDescent="0.25">
      <c r="C1668" s="19" t="str">
        <v/>
      </c>
    </row>
    <row r="1669" spans="3:3" x14ac:dyDescent="0.25">
      <c r="C1669" s="19" t="str">
        <v/>
      </c>
    </row>
    <row r="1670" spans="3:3" x14ac:dyDescent="0.25">
      <c r="C1670" s="19" t="str">
        <v/>
      </c>
    </row>
    <row r="1671" spans="3:3" x14ac:dyDescent="0.25">
      <c r="C1671" s="19" t="str">
        <v/>
      </c>
    </row>
    <row r="1672" spans="3:3" x14ac:dyDescent="0.25">
      <c r="C1672" s="19" t="str">
        <v/>
      </c>
    </row>
    <row r="1673" spans="3:3" x14ac:dyDescent="0.25">
      <c r="C1673" s="19" t="str">
        <v/>
      </c>
    </row>
    <row r="1674" spans="3:3" x14ac:dyDescent="0.25">
      <c r="C1674" s="19" t="str">
        <v/>
      </c>
    </row>
    <row r="1675" spans="3:3" x14ac:dyDescent="0.25">
      <c r="C1675" s="19" t="str">
        <v/>
      </c>
    </row>
    <row r="1676" spans="3:3" x14ac:dyDescent="0.25">
      <c r="C1676" s="19" t="str">
        <v/>
      </c>
    </row>
    <row r="1677" spans="3:3" x14ac:dyDescent="0.25">
      <c r="C1677" s="19" t="str">
        <v/>
      </c>
    </row>
    <row r="1678" spans="3:3" x14ac:dyDescent="0.25">
      <c r="C1678" s="19" t="str">
        <v/>
      </c>
    </row>
    <row r="1679" spans="3:3" x14ac:dyDescent="0.25">
      <c r="C1679" s="19" t="str">
        <v/>
      </c>
    </row>
    <row r="1680" spans="3:3" x14ac:dyDescent="0.25">
      <c r="C1680" s="19" t="str">
        <v/>
      </c>
    </row>
    <row r="1681" spans="3:3" x14ac:dyDescent="0.25">
      <c r="C1681" s="19" t="str">
        <v/>
      </c>
    </row>
    <row r="1682" spans="3:3" x14ac:dyDescent="0.25">
      <c r="C1682" s="19" t="str">
        <v/>
      </c>
    </row>
    <row r="1683" spans="3:3" x14ac:dyDescent="0.25">
      <c r="C1683" s="19" t="str">
        <v/>
      </c>
    </row>
    <row r="1684" spans="3:3" x14ac:dyDescent="0.25">
      <c r="C1684" s="19" t="str">
        <v/>
      </c>
    </row>
    <row r="1685" spans="3:3" x14ac:dyDescent="0.25">
      <c r="C1685" s="19" t="str">
        <v/>
      </c>
    </row>
    <row r="1686" spans="3:3" x14ac:dyDescent="0.25">
      <c r="C1686" s="19" t="str">
        <v/>
      </c>
    </row>
    <row r="1687" spans="3:3" x14ac:dyDescent="0.25">
      <c r="C1687" s="19" t="str">
        <v/>
      </c>
    </row>
    <row r="1688" spans="3:3" x14ac:dyDescent="0.25">
      <c r="C1688" s="19" t="str">
        <v/>
      </c>
    </row>
    <row r="1689" spans="3:3" x14ac:dyDescent="0.25">
      <c r="C1689" s="19" t="str">
        <v/>
      </c>
    </row>
    <row r="1690" spans="3:3" x14ac:dyDescent="0.25">
      <c r="C1690" s="19" t="str">
        <v/>
      </c>
    </row>
    <row r="1691" spans="3:3" x14ac:dyDescent="0.25">
      <c r="C1691" s="19" t="str">
        <v/>
      </c>
    </row>
    <row r="1692" spans="3:3" x14ac:dyDescent="0.25">
      <c r="C1692" s="19" t="str">
        <v/>
      </c>
    </row>
    <row r="1693" spans="3:3" x14ac:dyDescent="0.25">
      <c r="C1693" s="19" t="str">
        <v/>
      </c>
    </row>
    <row r="1694" spans="3:3" x14ac:dyDescent="0.25">
      <c r="C1694" s="19" t="str">
        <v/>
      </c>
    </row>
    <row r="1695" spans="3:3" x14ac:dyDescent="0.25">
      <c r="C1695" s="19" t="str">
        <v/>
      </c>
    </row>
    <row r="1696" spans="3:3" x14ac:dyDescent="0.25">
      <c r="C1696" s="19" t="str">
        <v/>
      </c>
    </row>
    <row r="1697" spans="3:3" x14ac:dyDescent="0.25">
      <c r="C1697" s="19" t="str">
        <v/>
      </c>
    </row>
    <row r="1698" spans="3:3" x14ac:dyDescent="0.25">
      <c r="C1698" s="19" t="str">
        <v/>
      </c>
    </row>
    <row r="1699" spans="3:3" x14ac:dyDescent="0.25">
      <c r="C1699" s="19" t="str">
        <v/>
      </c>
    </row>
    <row r="1700" spans="3:3" x14ac:dyDescent="0.25">
      <c r="C1700" s="19" t="str">
        <v/>
      </c>
    </row>
    <row r="1701" spans="3:3" x14ac:dyDescent="0.25">
      <c r="C1701" s="19" t="str">
        <v/>
      </c>
    </row>
    <row r="1702" spans="3:3" x14ac:dyDescent="0.25">
      <c r="C1702" s="19" t="str">
        <v/>
      </c>
    </row>
    <row r="1703" spans="3:3" x14ac:dyDescent="0.25">
      <c r="C1703" s="19" t="str">
        <v/>
      </c>
    </row>
    <row r="1704" spans="3:3" x14ac:dyDescent="0.25">
      <c r="C1704" s="19" t="str">
        <v/>
      </c>
    </row>
    <row r="1705" spans="3:3" x14ac:dyDescent="0.25">
      <c r="C1705" s="19" t="str">
        <v/>
      </c>
    </row>
    <row r="1706" spans="3:3" x14ac:dyDescent="0.25">
      <c r="C1706" s="19" t="str">
        <v/>
      </c>
    </row>
    <row r="1707" spans="3:3" x14ac:dyDescent="0.25">
      <c r="C1707" s="19" t="str">
        <v/>
      </c>
    </row>
    <row r="1708" spans="3:3" x14ac:dyDescent="0.25">
      <c r="C1708" s="19" t="str">
        <v/>
      </c>
    </row>
    <row r="1709" spans="3:3" x14ac:dyDescent="0.25">
      <c r="C1709" s="19" t="str">
        <v/>
      </c>
    </row>
    <row r="1710" spans="3:3" x14ac:dyDescent="0.25">
      <c r="C1710" s="19" t="str">
        <v/>
      </c>
    </row>
    <row r="1711" spans="3:3" x14ac:dyDescent="0.25">
      <c r="C1711" s="19" t="str">
        <v/>
      </c>
    </row>
    <row r="1712" spans="3:3" x14ac:dyDescent="0.25">
      <c r="C1712" s="19" t="str">
        <v/>
      </c>
    </row>
    <row r="1713" spans="3:3" x14ac:dyDescent="0.25">
      <c r="C1713" s="19" t="str">
        <v/>
      </c>
    </row>
    <row r="1714" spans="3:3" x14ac:dyDescent="0.25">
      <c r="C1714" s="19" t="str">
        <v/>
      </c>
    </row>
    <row r="1715" spans="3:3" x14ac:dyDescent="0.25">
      <c r="C1715" s="19" t="str">
        <v/>
      </c>
    </row>
    <row r="1716" spans="3:3" x14ac:dyDescent="0.25">
      <c r="C1716" s="19" t="str">
        <v/>
      </c>
    </row>
    <row r="1717" spans="3:3" x14ac:dyDescent="0.25">
      <c r="C1717" s="19" t="str">
        <v/>
      </c>
    </row>
    <row r="1718" spans="3:3" x14ac:dyDescent="0.25">
      <c r="C1718" s="19" t="str">
        <v/>
      </c>
    </row>
    <row r="1719" spans="3:3" x14ac:dyDescent="0.25">
      <c r="C1719" s="19" t="str">
        <v/>
      </c>
    </row>
    <row r="1720" spans="3:3" x14ac:dyDescent="0.25">
      <c r="C1720" s="19" t="str">
        <v/>
      </c>
    </row>
    <row r="1721" spans="3:3" x14ac:dyDescent="0.25">
      <c r="C1721" s="19" t="str">
        <v/>
      </c>
    </row>
    <row r="1722" spans="3:3" x14ac:dyDescent="0.25">
      <c r="C1722" s="19" t="str">
        <v/>
      </c>
    </row>
    <row r="1723" spans="3:3" x14ac:dyDescent="0.25">
      <c r="C1723" s="19" t="str">
        <v/>
      </c>
    </row>
    <row r="1724" spans="3:3" x14ac:dyDescent="0.25">
      <c r="C1724" s="19" t="str">
        <v/>
      </c>
    </row>
    <row r="1725" spans="3:3" x14ac:dyDescent="0.25">
      <c r="C1725" s="19" t="str">
        <v/>
      </c>
    </row>
    <row r="1726" spans="3:3" x14ac:dyDescent="0.25">
      <c r="C1726" s="19" t="str">
        <v/>
      </c>
    </row>
    <row r="1727" spans="3:3" x14ac:dyDescent="0.25">
      <c r="C1727" s="19" t="str">
        <v/>
      </c>
    </row>
    <row r="1728" spans="3:3" x14ac:dyDescent="0.25">
      <c r="C1728" s="19" t="str">
        <v/>
      </c>
    </row>
    <row r="1729" spans="3:3" x14ac:dyDescent="0.25">
      <c r="C1729" s="19" t="str">
        <v/>
      </c>
    </row>
    <row r="1730" spans="3:3" x14ac:dyDescent="0.25">
      <c r="C1730" s="19" t="str">
        <v/>
      </c>
    </row>
    <row r="1731" spans="3:3" x14ac:dyDescent="0.25">
      <c r="C1731" s="19" t="str">
        <v/>
      </c>
    </row>
    <row r="1732" spans="3:3" x14ac:dyDescent="0.25">
      <c r="C1732" s="19" t="str">
        <v/>
      </c>
    </row>
    <row r="1733" spans="3:3" x14ac:dyDescent="0.25">
      <c r="C1733" s="19" t="str">
        <v/>
      </c>
    </row>
    <row r="1734" spans="3:3" x14ac:dyDescent="0.25">
      <c r="C1734" s="19" t="str">
        <v/>
      </c>
    </row>
    <row r="1735" spans="3:3" x14ac:dyDescent="0.25">
      <c r="C1735" s="19" t="str">
        <v/>
      </c>
    </row>
    <row r="1736" spans="3:3" x14ac:dyDescent="0.25">
      <c r="C1736" s="19" t="str">
        <v/>
      </c>
    </row>
    <row r="1737" spans="3:3" x14ac:dyDescent="0.25">
      <c r="C1737" s="19" t="str">
        <v/>
      </c>
    </row>
    <row r="1738" spans="3:3" x14ac:dyDescent="0.25">
      <c r="C1738" s="19" t="str">
        <v/>
      </c>
    </row>
    <row r="1739" spans="3:3" x14ac:dyDescent="0.25">
      <c r="C1739" s="19" t="str">
        <v/>
      </c>
    </row>
    <row r="1740" spans="3:3" x14ac:dyDescent="0.25">
      <c r="C1740" s="19" t="str">
        <v/>
      </c>
    </row>
    <row r="1741" spans="3:3" x14ac:dyDescent="0.25">
      <c r="C1741" s="19" t="str">
        <v/>
      </c>
    </row>
    <row r="1742" spans="3:3" x14ac:dyDescent="0.25">
      <c r="C1742" s="19" t="str">
        <v/>
      </c>
    </row>
    <row r="1743" spans="3:3" x14ac:dyDescent="0.25">
      <c r="C1743" s="19" t="str">
        <v/>
      </c>
    </row>
    <row r="1744" spans="3:3" x14ac:dyDescent="0.25">
      <c r="C1744" s="19" t="str">
        <v/>
      </c>
    </row>
    <row r="1745" spans="3:3" x14ac:dyDescent="0.25">
      <c r="C1745" s="19" t="str">
        <v/>
      </c>
    </row>
    <row r="1746" spans="3:3" x14ac:dyDescent="0.25">
      <c r="C1746" s="19" t="str">
        <v/>
      </c>
    </row>
    <row r="1747" spans="3:3" x14ac:dyDescent="0.25">
      <c r="C1747" s="19" t="str">
        <v/>
      </c>
    </row>
    <row r="1748" spans="3:3" x14ac:dyDescent="0.25">
      <c r="C1748" s="19" t="str">
        <v/>
      </c>
    </row>
    <row r="1749" spans="3:3" x14ac:dyDescent="0.25">
      <c r="C1749" s="19" t="str">
        <v/>
      </c>
    </row>
    <row r="1750" spans="3:3" x14ac:dyDescent="0.25">
      <c r="C1750" s="19" t="str">
        <v/>
      </c>
    </row>
    <row r="1751" spans="3:3" x14ac:dyDescent="0.25">
      <c r="C1751" s="19" t="str">
        <v/>
      </c>
    </row>
    <row r="1752" spans="3:3" x14ac:dyDescent="0.25">
      <c r="C1752" s="19" t="str">
        <v/>
      </c>
    </row>
    <row r="1753" spans="3:3" x14ac:dyDescent="0.25">
      <c r="C1753" s="19" t="str">
        <v/>
      </c>
    </row>
    <row r="1754" spans="3:3" x14ac:dyDescent="0.25">
      <c r="C1754" s="19" t="str">
        <v/>
      </c>
    </row>
    <row r="1755" spans="3:3" x14ac:dyDescent="0.25">
      <c r="C1755" s="19" t="str">
        <v/>
      </c>
    </row>
    <row r="1756" spans="3:3" x14ac:dyDescent="0.25">
      <c r="C1756" s="19" t="str">
        <v/>
      </c>
    </row>
    <row r="1757" spans="3:3" x14ac:dyDescent="0.25">
      <c r="C1757" s="19" t="str">
        <v/>
      </c>
    </row>
    <row r="1758" spans="3:3" x14ac:dyDescent="0.25">
      <c r="C1758" s="19" t="str">
        <v/>
      </c>
    </row>
    <row r="1759" spans="3:3" x14ac:dyDescent="0.25">
      <c r="C1759" s="19" t="str">
        <v/>
      </c>
    </row>
    <row r="1760" spans="3:3" x14ac:dyDescent="0.25">
      <c r="C1760" s="19" t="str">
        <v/>
      </c>
    </row>
    <row r="1761" spans="3:3" x14ac:dyDescent="0.25">
      <c r="C1761" s="19" t="str">
        <v/>
      </c>
    </row>
    <row r="1762" spans="3:3" x14ac:dyDescent="0.25">
      <c r="C1762" s="19" t="str">
        <v/>
      </c>
    </row>
    <row r="1763" spans="3:3" x14ac:dyDescent="0.25">
      <c r="C1763" s="19" t="str">
        <v/>
      </c>
    </row>
    <row r="1764" spans="3:3" x14ac:dyDescent="0.25">
      <c r="C1764" s="19" t="str">
        <v/>
      </c>
    </row>
    <row r="1765" spans="3:3" x14ac:dyDescent="0.25">
      <c r="C1765" s="19" t="str">
        <v/>
      </c>
    </row>
    <row r="1766" spans="3:3" x14ac:dyDescent="0.25">
      <c r="C1766" s="19" t="str">
        <v/>
      </c>
    </row>
    <row r="1767" spans="3:3" x14ac:dyDescent="0.25">
      <c r="C1767" s="19" t="str">
        <v/>
      </c>
    </row>
    <row r="1768" spans="3:3" x14ac:dyDescent="0.25">
      <c r="C1768" s="19" t="str">
        <v/>
      </c>
    </row>
    <row r="1769" spans="3:3" x14ac:dyDescent="0.25">
      <c r="C1769" s="19" t="str">
        <v/>
      </c>
    </row>
    <row r="1770" spans="3:3" x14ac:dyDescent="0.25">
      <c r="C1770" s="19" t="str">
        <v/>
      </c>
    </row>
    <row r="1771" spans="3:3" x14ac:dyDescent="0.25">
      <c r="C1771" s="19" t="str">
        <v/>
      </c>
    </row>
    <row r="1772" spans="3:3" x14ac:dyDescent="0.25">
      <c r="C1772" s="19" t="str">
        <v/>
      </c>
    </row>
    <row r="1773" spans="3:3" x14ac:dyDescent="0.25">
      <c r="C1773" s="19" t="str">
        <v/>
      </c>
    </row>
    <row r="1774" spans="3:3" x14ac:dyDescent="0.25">
      <c r="C1774" s="19" t="str">
        <v/>
      </c>
    </row>
    <row r="1775" spans="3:3" x14ac:dyDescent="0.25">
      <c r="C1775" s="19" t="str">
        <v/>
      </c>
    </row>
    <row r="1776" spans="3:3" x14ac:dyDescent="0.25">
      <c r="C1776" s="19" t="str">
        <v/>
      </c>
    </row>
    <row r="1777" spans="3:3" x14ac:dyDescent="0.25">
      <c r="C1777" s="19" t="str">
        <v/>
      </c>
    </row>
    <row r="1778" spans="3:3" x14ac:dyDescent="0.25">
      <c r="C1778" s="19" t="str">
        <v/>
      </c>
    </row>
    <row r="1779" spans="3:3" x14ac:dyDescent="0.25">
      <c r="C1779" s="19" t="str">
        <v/>
      </c>
    </row>
    <row r="1780" spans="3:3" x14ac:dyDescent="0.25">
      <c r="C1780" s="19" t="str">
        <v/>
      </c>
    </row>
    <row r="1781" spans="3:3" x14ac:dyDescent="0.25">
      <c r="C1781" s="19" t="str">
        <v/>
      </c>
    </row>
    <row r="1782" spans="3:3" x14ac:dyDescent="0.25">
      <c r="C1782" s="19" t="str">
        <v/>
      </c>
    </row>
    <row r="1783" spans="3:3" x14ac:dyDescent="0.25">
      <c r="C1783" s="19" t="str">
        <v/>
      </c>
    </row>
    <row r="1784" spans="3:3" x14ac:dyDescent="0.25">
      <c r="C1784" s="19" t="str">
        <v/>
      </c>
    </row>
    <row r="1785" spans="3:3" x14ac:dyDescent="0.25">
      <c r="C1785" s="19" t="str">
        <v/>
      </c>
    </row>
    <row r="1786" spans="3:3" x14ac:dyDescent="0.25">
      <c r="C1786" s="19" t="str">
        <v/>
      </c>
    </row>
    <row r="1787" spans="3:3" x14ac:dyDescent="0.25">
      <c r="C1787" s="19" t="str">
        <v/>
      </c>
    </row>
    <row r="1788" spans="3:3" x14ac:dyDescent="0.25">
      <c r="C1788" s="19" t="str">
        <v/>
      </c>
    </row>
    <row r="1789" spans="3:3" x14ac:dyDescent="0.25">
      <c r="C1789" s="19" t="str">
        <v/>
      </c>
    </row>
    <row r="1790" spans="3:3" x14ac:dyDescent="0.25">
      <c r="C1790" s="19" t="str">
        <v/>
      </c>
    </row>
    <row r="1791" spans="3:3" x14ac:dyDescent="0.25">
      <c r="C1791" s="19" t="str">
        <v/>
      </c>
    </row>
    <row r="1792" spans="3:3" x14ac:dyDescent="0.25">
      <c r="C1792" s="19" t="str">
        <v/>
      </c>
    </row>
    <row r="1793" spans="3:3" x14ac:dyDescent="0.25">
      <c r="C1793" s="19" t="str">
        <v/>
      </c>
    </row>
    <row r="1794" spans="3:3" x14ac:dyDescent="0.25">
      <c r="C1794" s="19" t="str">
        <v/>
      </c>
    </row>
    <row r="1795" spans="3:3" x14ac:dyDescent="0.25">
      <c r="C1795" s="19" t="str">
        <v/>
      </c>
    </row>
    <row r="1796" spans="3:3" x14ac:dyDescent="0.25">
      <c r="C1796" s="19" t="str">
        <v/>
      </c>
    </row>
    <row r="1797" spans="3:3" x14ac:dyDescent="0.25">
      <c r="C1797" s="19" t="str">
        <v/>
      </c>
    </row>
    <row r="1798" spans="3:3" x14ac:dyDescent="0.25">
      <c r="C1798" s="19" t="str">
        <v/>
      </c>
    </row>
    <row r="1799" spans="3:3" x14ac:dyDescent="0.25">
      <c r="C1799" s="19" t="str">
        <v/>
      </c>
    </row>
    <row r="1800" spans="3:3" x14ac:dyDescent="0.25">
      <c r="C1800" s="19" t="str">
        <v/>
      </c>
    </row>
    <row r="1801" spans="3:3" x14ac:dyDescent="0.25">
      <c r="C1801" s="19" t="str">
        <v/>
      </c>
    </row>
    <row r="1802" spans="3:3" x14ac:dyDescent="0.25">
      <c r="C1802" s="19" t="str">
        <v/>
      </c>
    </row>
    <row r="1803" spans="3:3" x14ac:dyDescent="0.25">
      <c r="C1803" s="19" t="str">
        <v/>
      </c>
    </row>
    <row r="1804" spans="3:3" x14ac:dyDescent="0.25">
      <c r="C1804" s="19" t="str">
        <v/>
      </c>
    </row>
    <row r="1805" spans="3:3" x14ac:dyDescent="0.25">
      <c r="C1805" s="19" t="str">
        <v/>
      </c>
    </row>
    <row r="1806" spans="3:3" x14ac:dyDescent="0.25">
      <c r="C1806" s="19" t="str">
        <v/>
      </c>
    </row>
    <row r="1807" spans="3:3" x14ac:dyDescent="0.25">
      <c r="C1807" s="19" t="str">
        <v/>
      </c>
    </row>
    <row r="1808" spans="3:3" x14ac:dyDescent="0.25">
      <c r="C1808" s="19" t="str">
        <v/>
      </c>
    </row>
    <row r="1809" spans="3:3" x14ac:dyDescent="0.25">
      <c r="C1809" s="19" t="str">
        <v/>
      </c>
    </row>
    <row r="1810" spans="3:3" x14ac:dyDescent="0.25">
      <c r="C1810" s="19" t="str">
        <v/>
      </c>
    </row>
    <row r="1811" spans="3:3" x14ac:dyDescent="0.25">
      <c r="C1811" s="19" t="str">
        <v/>
      </c>
    </row>
    <row r="1812" spans="3:3" x14ac:dyDescent="0.25">
      <c r="C1812" s="19" t="str">
        <v/>
      </c>
    </row>
    <row r="1813" spans="3:3" x14ac:dyDescent="0.25">
      <c r="C1813" s="19" t="str">
        <v/>
      </c>
    </row>
    <row r="1814" spans="3:3" x14ac:dyDescent="0.25">
      <c r="C1814" s="19" t="str">
        <v/>
      </c>
    </row>
    <row r="1815" spans="3:3" x14ac:dyDescent="0.25">
      <c r="C1815" s="19" t="str">
        <v/>
      </c>
    </row>
    <row r="1816" spans="3:3" x14ac:dyDescent="0.25">
      <c r="C1816" s="19" t="str">
        <v/>
      </c>
    </row>
    <row r="1817" spans="3:3" x14ac:dyDescent="0.25">
      <c r="C1817" s="19" t="str">
        <v/>
      </c>
    </row>
    <row r="1818" spans="3:3" x14ac:dyDescent="0.25">
      <c r="C1818" s="19" t="str">
        <v/>
      </c>
    </row>
    <row r="1819" spans="3:3" x14ac:dyDescent="0.25">
      <c r="C1819" s="19" t="str">
        <v/>
      </c>
    </row>
    <row r="1820" spans="3:3" x14ac:dyDescent="0.25">
      <c r="C1820" s="19" t="str">
        <v/>
      </c>
    </row>
    <row r="1821" spans="3:3" x14ac:dyDescent="0.25">
      <c r="C1821" s="19" t="str">
        <v/>
      </c>
    </row>
    <row r="1822" spans="3:3" x14ac:dyDescent="0.25">
      <c r="C1822" s="19" t="str">
        <v/>
      </c>
    </row>
    <row r="1823" spans="3:3" x14ac:dyDescent="0.25">
      <c r="C1823" s="19" t="str">
        <v/>
      </c>
    </row>
    <row r="1824" spans="3:3" x14ac:dyDescent="0.25">
      <c r="C1824" s="19" t="str">
        <v/>
      </c>
    </row>
    <row r="1825" spans="3:3" x14ac:dyDescent="0.25">
      <c r="C1825" s="19" t="str">
        <v/>
      </c>
    </row>
    <row r="1826" spans="3:3" x14ac:dyDescent="0.25">
      <c r="C1826" s="19" t="str">
        <v/>
      </c>
    </row>
    <row r="1827" spans="3:3" x14ac:dyDescent="0.25">
      <c r="C1827" s="19" t="str">
        <v/>
      </c>
    </row>
    <row r="1828" spans="3:3" x14ac:dyDescent="0.25">
      <c r="C1828" s="19" t="str">
        <v/>
      </c>
    </row>
    <row r="1829" spans="3:3" x14ac:dyDescent="0.25">
      <c r="C1829" s="19" t="str">
        <v/>
      </c>
    </row>
    <row r="1830" spans="3:3" x14ac:dyDescent="0.25">
      <c r="C1830" s="19" t="str">
        <v/>
      </c>
    </row>
    <row r="1831" spans="3:3" x14ac:dyDescent="0.25">
      <c r="C1831" s="19" t="str">
        <v/>
      </c>
    </row>
    <row r="1832" spans="3:3" x14ac:dyDescent="0.25">
      <c r="C1832" s="19" t="str">
        <v/>
      </c>
    </row>
    <row r="1833" spans="3:3" x14ac:dyDescent="0.25">
      <c r="C1833" s="19" t="str">
        <v/>
      </c>
    </row>
    <row r="1834" spans="3:3" x14ac:dyDescent="0.25">
      <c r="C1834" s="19" t="str">
        <v/>
      </c>
    </row>
    <row r="1835" spans="3:3" x14ac:dyDescent="0.25">
      <c r="C1835" s="19" t="str">
        <v/>
      </c>
    </row>
    <row r="1836" spans="3:3" x14ac:dyDescent="0.25">
      <c r="C1836" s="19" t="str">
        <v/>
      </c>
    </row>
    <row r="1837" spans="3:3" x14ac:dyDescent="0.25">
      <c r="C1837" s="19" t="str">
        <v/>
      </c>
    </row>
    <row r="1838" spans="3:3" x14ac:dyDescent="0.25">
      <c r="C1838" s="19" t="str">
        <v/>
      </c>
    </row>
    <row r="1839" spans="3:3" x14ac:dyDescent="0.25">
      <c r="C1839" s="19" t="str">
        <v/>
      </c>
    </row>
    <row r="1840" spans="3:3" x14ac:dyDescent="0.25">
      <c r="C1840" s="19" t="str">
        <v/>
      </c>
    </row>
    <row r="1841" spans="3:3" x14ac:dyDescent="0.25">
      <c r="C1841" s="19" t="str">
        <v/>
      </c>
    </row>
    <row r="1842" spans="3:3" x14ac:dyDescent="0.25">
      <c r="C1842" s="19" t="str">
        <v/>
      </c>
    </row>
    <row r="1843" spans="3:3" x14ac:dyDescent="0.25">
      <c r="C1843" s="19" t="str">
        <v/>
      </c>
    </row>
    <row r="1844" spans="3:3" x14ac:dyDescent="0.25">
      <c r="C1844" s="19" t="str">
        <v/>
      </c>
    </row>
    <row r="1845" spans="3:3" x14ac:dyDescent="0.25">
      <c r="C1845" s="19" t="str">
        <v/>
      </c>
    </row>
    <row r="1846" spans="3:3" x14ac:dyDescent="0.25">
      <c r="C1846" s="19" t="str">
        <v/>
      </c>
    </row>
    <row r="1847" spans="3:3" x14ac:dyDescent="0.25">
      <c r="C1847" s="19" t="str">
        <v/>
      </c>
    </row>
    <row r="1848" spans="3:3" x14ac:dyDescent="0.25">
      <c r="C1848" s="19" t="str">
        <v/>
      </c>
    </row>
    <row r="1849" spans="3:3" x14ac:dyDescent="0.25">
      <c r="C1849" s="19" t="str">
        <v/>
      </c>
    </row>
    <row r="1850" spans="3:3" x14ac:dyDescent="0.25">
      <c r="C1850" s="19" t="str">
        <v/>
      </c>
    </row>
    <row r="1851" spans="3:3" x14ac:dyDescent="0.25">
      <c r="C1851" s="19" t="str">
        <v/>
      </c>
    </row>
    <row r="1852" spans="3:3" x14ac:dyDescent="0.25">
      <c r="C1852" s="19" t="str">
        <v/>
      </c>
    </row>
    <row r="1853" spans="3:3" x14ac:dyDescent="0.25">
      <c r="C1853" s="19" t="str">
        <v/>
      </c>
    </row>
    <row r="1854" spans="3:3" x14ac:dyDescent="0.25">
      <c r="C1854" s="19" t="str">
        <v/>
      </c>
    </row>
    <row r="1855" spans="3:3" x14ac:dyDescent="0.25">
      <c r="C1855" s="19" t="str">
        <v/>
      </c>
    </row>
    <row r="1856" spans="3:3" x14ac:dyDescent="0.25">
      <c r="C1856" s="19" t="str">
        <v/>
      </c>
    </row>
    <row r="1857" spans="3:3" x14ac:dyDescent="0.25">
      <c r="C1857" s="19" t="str">
        <v/>
      </c>
    </row>
    <row r="1858" spans="3:3" x14ac:dyDescent="0.25">
      <c r="C1858" s="19" t="str">
        <v/>
      </c>
    </row>
    <row r="1859" spans="3:3" x14ac:dyDescent="0.25">
      <c r="C1859" s="19" t="str">
        <v/>
      </c>
    </row>
    <row r="1860" spans="3:3" x14ac:dyDescent="0.25">
      <c r="C1860" s="19" t="str">
        <v/>
      </c>
    </row>
    <row r="1861" spans="3:3" x14ac:dyDescent="0.25">
      <c r="C1861" s="19" t="str">
        <v/>
      </c>
    </row>
    <row r="1862" spans="3:3" x14ac:dyDescent="0.25">
      <c r="C1862" s="19" t="str">
        <v/>
      </c>
    </row>
    <row r="1863" spans="3:3" x14ac:dyDescent="0.25">
      <c r="C1863" s="19" t="str">
        <v/>
      </c>
    </row>
    <row r="1864" spans="3:3" x14ac:dyDescent="0.25">
      <c r="C1864" s="19" t="str">
        <v/>
      </c>
    </row>
    <row r="1865" spans="3:3" x14ac:dyDescent="0.25">
      <c r="C1865" s="19" t="str">
        <v/>
      </c>
    </row>
    <row r="1866" spans="3:3" x14ac:dyDescent="0.25">
      <c r="C1866" s="19" t="str">
        <v/>
      </c>
    </row>
    <row r="1867" spans="3:3" x14ac:dyDescent="0.25">
      <c r="C1867" s="19" t="str">
        <v/>
      </c>
    </row>
    <row r="1868" spans="3:3" x14ac:dyDescent="0.25">
      <c r="C1868" s="19" t="str">
        <v/>
      </c>
    </row>
    <row r="1869" spans="3:3" x14ac:dyDescent="0.25">
      <c r="C1869" s="19" t="str">
        <v/>
      </c>
    </row>
    <row r="1870" spans="3:3" x14ac:dyDescent="0.25">
      <c r="C1870" s="19" t="str">
        <v/>
      </c>
    </row>
    <row r="1871" spans="3:3" x14ac:dyDescent="0.25">
      <c r="C1871" s="19" t="str">
        <v/>
      </c>
    </row>
    <row r="1872" spans="3:3" x14ac:dyDescent="0.25">
      <c r="C1872" s="19" t="str">
        <v/>
      </c>
    </row>
    <row r="1873" spans="3:3" x14ac:dyDescent="0.25">
      <c r="C1873" s="19" t="str">
        <v/>
      </c>
    </row>
    <row r="1874" spans="3:3" x14ac:dyDescent="0.25">
      <c r="C1874" s="19" t="str">
        <v/>
      </c>
    </row>
    <row r="1875" spans="3:3" x14ac:dyDescent="0.25">
      <c r="C1875" s="19" t="str">
        <v/>
      </c>
    </row>
    <row r="1876" spans="3:3" x14ac:dyDescent="0.25">
      <c r="C1876" s="19" t="str">
        <v/>
      </c>
    </row>
    <row r="1877" spans="3:3" x14ac:dyDescent="0.25">
      <c r="C1877" s="19" t="str">
        <v/>
      </c>
    </row>
    <row r="1878" spans="3:3" x14ac:dyDescent="0.25">
      <c r="C1878" s="19" t="str">
        <v/>
      </c>
    </row>
    <row r="1879" spans="3:3" x14ac:dyDescent="0.25">
      <c r="C1879" s="19" t="str">
        <v/>
      </c>
    </row>
    <row r="1880" spans="3:3" x14ac:dyDescent="0.25">
      <c r="C1880" s="19" t="str">
        <v/>
      </c>
    </row>
    <row r="1881" spans="3:3" x14ac:dyDescent="0.25">
      <c r="C1881" s="19" t="str">
        <v/>
      </c>
    </row>
    <row r="1882" spans="3:3" x14ac:dyDescent="0.25">
      <c r="C1882" s="19" t="str">
        <v/>
      </c>
    </row>
    <row r="1883" spans="3:3" x14ac:dyDescent="0.25">
      <c r="C1883" s="19" t="str">
        <v/>
      </c>
    </row>
    <row r="1884" spans="3:3" x14ac:dyDescent="0.25">
      <c r="C1884" s="19" t="str">
        <v/>
      </c>
    </row>
    <row r="1885" spans="3:3" x14ac:dyDescent="0.25">
      <c r="C1885" s="19" t="str">
        <v/>
      </c>
    </row>
    <row r="1886" spans="3:3" x14ac:dyDescent="0.25">
      <c r="C1886" s="19" t="str">
        <v/>
      </c>
    </row>
    <row r="1887" spans="3:3" x14ac:dyDescent="0.25">
      <c r="C1887" s="19" t="str">
        <v/>
      </c>
    </row>
    <row r="1888" spans="3:3" x14ac:dyDescent="0.25">
      <c r="C1888" s="19" t="str">
        <v/>
      </c>
    </row>
    <row r="1889" spans="3:3" x14ac:dyDescent="0.25">
      <c r="C1889" s="19" t="str">
        <v/>
      </c>
    </row>
    <row r="1890" spans="3:3" x14ac:dyDescent="0.25">
      <c r="C1890" s="19" t="str">
        <v/>
      </c>
    </row>
    <row r="1891" spans="3:3" x14ac:dyDescent="0.25">
      <c r="C1891" s="19" t="str">
        <v/>
      </c>
    </row>
    <row r="1892" spans="3:3" x14ac:dyDescent="0.25">
      <c r="C1892" s="19" t="str">
        <v/>
      </c>
    </row>
    <row r="1893" spans="3:3" x14ac:dyDescent="0.25">
      <c r="C1893" s="19" t="str">
        <v/>
      </c>
    </row>
    <row r="1894" spans="3:3" x14ac:dyDescent="0.25">
      <c r="C1894" s="19" t="str">
        <v/>
      </c>
    </row>
    <row r="1895" spans="3:3" x14ac:dyDescent="0.25">
      <c r="C1895" s="19" t="str">
        <v/>
      </c>
    </row>
    <row r="1896" spans="3:3" x14ac:dyDescent="0.25">
      <c r="C1896" s="19" t="str">
        <v/>
      </c>
    </row>
    <row r="1897" spans="3:3" x14ac:dyDescent="0.25">
      <c r="C1897" s="19" t="str">
        <v/>
      </c>
    </row>
    <row r="1898" spans="3:3" x14ac:dyDescent="0.25">
      <c r="C1898" s="19" t="str">
        <v/>
      </c>
    </row>
    <row r="1899" spans="3:3" x14ac:dyDescent="0.25">
      <c r="C1899" s="19" t="str">
        <v/>
      </c>
    </row>
    <row r="1900" spans="3:3" x14ac:dyDescent="0.25">
      <c r="C1900" s="19" t="str">
        <v/>
      </c>
    </row>
    <row r="1901" spans="3:3" x14ac:dyDescent="0.25">
      <c r="C1901" s="19" t="str">
        <v/>
      </c>
    </row>
    <row r="1902" spans="3:3" x14ac:dyDescent="0.25">
      <c r="C1902" s="19" t="str">
        <v/>
      </c>
    </row>
    <row r="1903" spans="3:3" x14ac:dyDescent="0.25">
      <c r="C1903" s="19" t="str">
        <v/>
      </c>
    </row>
    <row r="1904" spans="3:3" x14ac:dyDescent="0.25">
      <c r="C1904" s="19" t="str">
        <v/>
      </c>
    </row>
    <row r="1905" spans="3:3" x14ac:dyDescent="0.25">
      <c r="C1905" s="19" t="str">
        <v/>
      </c>
    </row>
    <row r="1906" spans="3:3" x14ac:dyDescent="0.25">
      <c r="C1906" s="19" t="str">
        <v/>
      </c>
    </row>
    <row r="1907" spans="3:3" x14ac:dyDescent="0.25">
      <c r="C1907" s="19" t="str">
        <v/>
      </c>
    </row>
    <row r="1908" spans="3:3" x14ac:dyDescent="0.25">
      <c r="C1908" s="19" t="str">
        <v/>
      </c>
    </row>
    <row r="1909" spans="3:3" x14ac:dyDescent="0.25">
      <c r="C1909" s="19" t="str">
        <v/>
      </c>
    </row>
    <row r="1910" spans="3:3" x14ac:dyDescent="0.25">
      <c r="C1910" s="19" t="str">
        <v/>
      </c>
    </row>
    <row r="1911" spans="3:3" x14ac:dyDescent="0.25">
      <c r="C1911" s="19" t="str">
        <v/>
      </c>
    </row>
    <row r="1912" spans="3:3" x14ac:dyDescent="0.25">
      <c r="C1912" s="19" t="str">
        <v/>
      </c>
    </row>
    <row r="1913" spans="3:3" x14ac:dyDescent="0.25">
      <c r="C1913" s="19" t="str">
        <v/>
      </c>
    </row>
    <row r="1914" spans="3:3" x14ac:dyDescent="0.25">
      <c r="C1914" s="19" t="str">
        <v/>
      </c>
    </row>
    <row r="1915" spans="3:3" x14ac:dyDescent="0.25">
      <c r="C1915" s="19" t="str">
        <v/>
      </c>
    </row>
    <row r="1916" spans="3:3" x14ac:dyDescent="0.25">
      <c r="C1916" s="19" t="str">
        <v/>
      </c>
    </row>
    <row r="1917" spans="3:3" x14ac:dyDescent="0.25">
      <c r="C1917" s="19" t="str">
        <v/>
      </c>
    </row>
    <row r="1918" spans="3:3" x14ac:dyDescent="0.25">
      <c r="C1918" s="19" t="str">
        <v/>
      </c>
    </row>
    <row r="1919" spans="3:3" x14ac:dyDescent="0.25">
      <c r="C1919" s="19" t="str">
        <v/>
      </c>
    </row>
    <row r="1920" spans="3:3" x14ac:dyDescent="0.25">
      <c r="C1920" s="19" t="str">
        <v/>
      </c>
    </row>
    <row r="1921" spans="3:3" x14ac:dyDescent="0.25">
      <c r="C1921" s="19" t="str">
        <v/>
      </c>
    </row>
    <row r="1922" spans="3:3" x14ac:dyDescent="0.25">
      <c r="C1922" s="19" t="str">
        <v/>
      </c>
    </row>
    <row r="1923" spans="3:3" x14ac:dyDescent="0.25">
      <c r="C1923" s="19" t="str">
        <v/>
      </c>
    </row>
    <row r="1924" spans="3:3" x14ac:dyDescent="0.25">
      <c r="C1924" s="19" t="str">
        <v/>
      </c>
    </row>
    <row r="1925" spans="3:3" x14ac:dyDescent="0.25">
      <c r="C1925" s="19" t="str">
        <v/>
      </c>
    </row>
    <row r="1926" spans="3:3" x14ac:dyDescent="0.25">
      <c r="C1926" s="19" t="str">
        <v/>
      </c>
    </row>
    <row r="1927" spans="3:3" x14ac:dyDescent="0.25">
      <c r="C1927" s="19" t="str">
        <v/>
      </c>
    </row>
    <row r="1928" spans="3:3" x14ac:dyDescent="0.25">
      <c r="C1928" s="19" t="str">
        <v/>
      </c>
    </row>
    <row r="1929" spans="3:3" x14ac:dyDescent="0.25">
      <c r="C1929" s="19" t="str">
        <v/>
      </c>
    </row>
    <row r="1930" spans="3:3" x14ac:dyDescent="0.25">
      <c r="C1930" s="19" t="str">
        <v/>
      </c>
    </row>
    <row r="1931" spans="3:3" x14ac:dyDescent="0.25">
      <c r="C1931" s="19" t="str">
        <v/>
      </c>
    </row>
    <row r="1932" spans="3:3" x14ac:dyDescent="0.25">
      <c r="C1932" s="19" t="str">
        <v/>
      </c>
    </row>
    <row r="1933" spans="3:3" x14ac:dyDescent="0.25">
      <c r="C1933" s="19" t="str">
        <v/>
      </c>
    </row>
    <row r="1934" spans="3:3" x14ac:dyDescent="0.25">
      <c r="C1934" s="19" t="str">
        <v/>
      </c>
    </row>
    <row r="1935" spans="3:3" x14ac:dyDescent="0.25">
      <c r="C1935" s="19" t="str">
        <v/>
      </c>
    </row>
    <row r="1936" spans="3:3" x14ac:dyDescent="0.25">
      <c r="C1936" s="19" t="str">
        <v/>
      </c>
    </row>
    <row r="1937" spans="3:3" x14ac:dyDescent="0.25">
      <c r="C1937" s="19" t="str">
        <v/>
      </c>
    </row>
    <row r="1938" spans="3:3" x14ac:dyDescent="0.25">
      <c r="C1938" s="19" t="str">
        <v/>
      </c>
    </row>
    <row r="1939" spans="3:3" x14ac:dyDescent="0.25">
      <c r="C1939" s="19" t="str">
        <v/>
      </c>
    </row>
    <row r="1940" spans="3:3" x14ac:dyDescent="0.25">
      <c r="C1940" s="19" t="str">
        <v/>
      </c>
    </row>
    <row r="1941" spans="3:3" x14ac:dyDescent="0.25">
      <c r="C1941" s="19" t="str">
        <v/>
      </c>
    </row>
    <row r="1942" spans="3:3" x14ac:dyDescent="0.25">
      <c r="C1942" s="19" t="str">
        <v/>
      </c>
    </row>
    <row r="1943" spans="3:3" x14ac:dyDescent="0.25">
      <c r="C1943" s="19" t="str">
        <v/>
      </c>
    </row>
    <row r="1944" spans="3:3" x14ac:dyDescent="0.25">
      <c r="C1944" s="19" t="str">
        <v/>
      </c>
    </row>
    <row r="1945" spans="3:3" x14ac:dyDescent="0.25">
      <c r="C1945" s="19" t="str">
        <v/>
      </c>
    </row>
    <row r="1946" spans="3:3" x14ac:dyDescent="0.25">
      <c r="C1946" s="19" t="str">
        <v/>
      </c>
    </row>
    <row r="1947" spans="3:3" x14ac:dyDescent="0.25">
      <c r="C1947" s="19" t="str">
        <v/>
      </c>
    </row>
    <row r="1948" spans="3:3" x14ac:dyDescent="0.25">
      <c r="C1948" s="19" t="str">
        <v/>
      </c>
    </row>
    <row r="1949" spans="3:3" x14ac:dyDescent="0.25">
      <c r="C1949" s="19" t="str">
        <v/>
      </c>
    </row>
    <row r="1950" spans="3:3" x14ac:dyDescent="0.25">
      <c r="C1950" s="19" t="str">
        <v/>
      </c>
    </row>
    <row r="1951" spans="3:3" x14ac:dyDescent="0.25">
      <c r="C1951" s="19" t="str">
        <v/>
      </c>
    </row>
    <row r="1952" spans="3:3" x14ac:dyDescent="0.25">
      <c r="C1952" s="19" t="str">
        <v/>
      </c>
    </row>
    <row r="1953" spans="3:3" x14ac:dyDescent="0.25">
      <c r="C1953" s="19" t="str">
        <v/>
      </c>
    </row>
    <row r="1954" spans="3:3" x14ac:dyDescent="0.25">
      <c r="C1954" s="19" t="str">
        <v/>
      </c>
    </row>
    <row r="1955" spans="3:3" x14ac:dyDescent="0.25">
      <c r="C1955" s="19" t="str">
        <v/>
      </c>
    </row>
    <row r="1956" spans="3:3" x14ac:dyDescent="0.25">
      <c r="C1956" s="19" t="str">
        <v/>
      </c>
    </row>
    <row r="1957" spans="3:3" x14ac:dyDescent="0.25">
      <c r="C1957" s="19" t="str">
        <v/>
      </c>
    </row>
    <row r="1958" spans="3:3" x14ac:dyDescent="0.25">
      <c r="C1958" s="19" t="str">
        <v/>
      </c>
    </row>
    <row r="1959" spans="3:3" x14ac:dyDescent="0.25">
      <c r="C1959" s="19" t="str">
        <v/>
      </c>
    </row>
    <row r="1960" spans="3:3" x14ac:dyDescent="0.25">
      <c r="C1960" s="19" t="str">
        <v/>
      </c>
    </row>
    <row r="1961" spans="3:3" x14ac:dyDescent="0.25">
      <c r="C1961" s="19" t="str">
        <v/>
      </c>
    </row>
    <row r="1962" spans="3:3" x14ac:dyDescent="0.25">
      <c r="C1962" s="19" t="str">
        <v/>
      </c>
    </row>
    <row r="1963" spans="3:3" x14ac:dyDescent="0.25">
      <c r="C1963" s="19" t="str">
        <v/>
      </c>
    </row>
    <row r="1964" spans="3:3" x14ac:dyDescent="0.25">
      <c r="C1964" s="19" t="str">
        <v/>
      </c>
    </row>
    <row r="1965" spans="3:3" x14ac:dyDescent="0.25">
      <c r="C1965" s="19" t="str">
        <v/>
      </c>
    </row>
    <row r="1966" spans="3:3" x14ac:dyDescent="0.25">
      <c r="C1966" s="19" t="str">
        <v/>
      </c>
    </row>
    <row r="1967" spans="3:3" x14ac:dyDescent="0.25">
      <c r="C1967" s="19" t="str">
        <v/>
      </c>
    </row>
    <row r="1968" spans="3:3" x14ac:dyDescent="0.25">
      <c r="C1968" s="19" t="str">
        <v/>
      </c>
    </row>
    <row r="1969" spans="3:3" x14ac:dyDescent="0.25">
      <c r="C1969" s="19" t="str">
        <v/>
      </c>
    </row>
    <row r="1970" spans="3:3" x14ac:dyDescent="0.25">
      <c r="C1970" s="19" t="str">
        <v/>
      </c>
    </row>
    <row r="1971" spans="3:3" x14ac:dyDescent="0.25">
      <c r="C1971" s="19" t="str">
        <v/>
      </c>
    </row>
    <row r="1972" spans="3:3" x14ac:dyDescent="0.25">
      <c r="C1972" s="19" t="str">
        <v/>
      </c>
    </row>
    <row r="1973" spans="3:3" x14ac:dyDescent="0.25">
      <c r="C1973" s="19" t="str">
        <v/>
      </c>
    </row>
    <row r="1974" spans="3:3" x14ac:dyDescent="0.25">
      <c r="C1974" s="19" t="str">
        <v/>
      </c>
    </row>
    <row r="1975" spans="3:3" x14ac:dyDescent="0.25">
      <c r="C1975" s="19" t="str">
        <v/>
      </c>
    </row>
    <row r="1976" spans="3:3" x14ac:dyDescent="0.25">
      <c r="C1976" s="19" t="str">
        <v/>
      </c>
    </row>
    <row r="1977" spans="3:3" x14ac:dyDescent="0.25">
      <c r="C1977" s="19" t="str">
        <v/>
      </c>
    </row>
    <row r="1978" spans="3:3" x14ac:dyDescent="0.25">
      <c r="C1978" s="19" t="str">
        <v/>
      </c>
    </row>
    <row r="1979" spans="3:3" x14ac:dyDescent="0.25">
      <c r="C1979" s="19" t="str">
        <v/>
      </c>
    </row>
    <row r="1980" spans="3:3" x14ac:dyDescent="0.25">
      <c r="C1980" s="19" t="str">
        <v/>
      </c>
    </row>
    <row r="1981" spans="3:3" x14ac:dyDescent="0.25">
      <c r="C1981" s="19" t="str">
        <v/>
      </c>
    </row>
    <row r="1982" spans="3:3" x14ac:dyDescent="0.25">
      <c r="C1982" s="19" t="str">
        <v/>
      </c>
    </row>
    <row r="1983" spans="3:3" x14ac:dyDescent="0.25">
      <c r="C1983" s="19" t="str">
        <v/>
      </c>
    </row>
    <row r="1984" spans="3:3" x14ac:dyDescent="0.25">
      <c r="C1984" s="19" t="str">
        <v/>
      </c>
    </row>
    <row r="1985" spans="3:3" x14ac:dyDescent="0.25">
      <c r="C1985" s="19" t="str">
        <v/>
      </c>
    </row>
    <row r="1986" spans="3:3" x14ac:dyDescent="0.25">
      <c r="C1986" s="19" t="str">
        <v/>
      </c>
    </row>
    <row r="1987" spans="3:3" x14ac:dyDescent="0.25">
      <c r="C1987" s="19" t="str">
        <v/>
      </c>
    </row>
    <row r="1988" spans="3:3" x14ac:dyDescent="0.25">
      <c r="C1988" s="19" t="str">
        <v/>
      </c>
    </row>
    <row r="1989" spans="3:3" x14ac:dyDescent="0.25">
      <c r="C1989" s="19" t="str">
        <v/>
      </c>
    </row>
    <row r="1990" spans="3:3" x14ac:dyDescent="0.25">
      <c r="C1990" s="19" t="str">
        <v/>
      </c>
    </row>
    <row r="1991" spans="3:3" x14ac:dyDescent="0.25">
      <c r="C1991" s="19" t="str">
        <v/>
      </c>
    </row>
    <row r="1992" spans="3:3" x14ac:dyDescent="0.25">
      <c r="C1992" s="19" t="str">
        <v/>
      </c>
    </row>
    <row r="1993" spans="3:3" x14ac:dyDescent="0.25">
      <c r="C1993" s="19" t="str">
        <v/>
      </c>
    </row>
    <row r="1994" spans="3:3" x14ac:dyDescent="0.25">
      <c r="C1994" s="19" t="str">
        <v/>
      </c>
    </row>
    <row r="1995" spans="3:3" x14ac:dyDescent="0.25">
      <c r="C1995" s="19" t="str">
        <v/>
      </c>
    </row>
    <row r="1996" spans="3:3" x14ac:dyDescent="0.25">
      <c r="C1996" s="19" t="str">
        <v/>
      </c>
    </row>
    <row r="1997" spans="3:3" x14ac:dyDescent="0.25">
      <c r="C1997" s="19" t="str">
        <v/>
      </c>
    </row>
    <row r="1998" spans="3:3" x14ac:dyDescent="0.25">
      <c r="C1998" s="19" t="str">
        <v/>
      </c>
    </row>
    <row r="1999" spans="3:3" x14ac:dyDescent="0.25">
      <c r="C1999" s="19" t="str">
        <v/>
      </c>
    </row>
    <row r="2000" spans="3:3" x14ac:dyDescent="0.25">
      <c r="C2000" s="19" t="str">
        <v/>
      </c>
    </row>
    <row r="2001" spans="3:3" x14ac:dyDescent="0.25">
      <c r="C2001" s="19" t="str">
        <v/>
      </c>
    </row>
    <row r="2002" spans="3:3" x14ac:dyDescent="0.25">
      <c r="C2002" s="19" t="str">
        <v/>
      </c>
    </row>
    <row r="2003" spans="3:3" x14ac:dyDescent="0.25">
      <c r="C2003" s="19" t="str">
        <v/>
      </c>
    </row>
    <row r="2004" spans="3:3" x14ac:dyDescent="0.25">
      <c r="C2004" s="19" t="str">
        <v/>
      </c>
    </row>
    <row r="2005" spans="3:3" x14ac:dyDescent="0.25">
      <c r="C2005" s="19" t="str">
        <v/>
      </c>
    </row>
    <row r="2006" spans="3:3" x14ac:dyDescent="0.25">
      <c r="C2006" s="19" t="str">
        <v/>
      </c>
    </row>
    <row r="2007" spans="3:3" x14ac:dyDescent="0.25">
      <c r="C2007" s="19" t="str">
        <v/>
      </c>
    </row>
    <row r="2008" spans="3:3" x14ac:dyDescent="0.25">
      <c r="C2008" s="19" t="str">
        <v/>
      </c>
    </row>
    <row r="2009" spans="3:3" x14ac:dyDescent="0.25">
      <c r="C2009" s="19" t="str">
        <v/>
      </c>
    </row>
    <row r="2010" spans="3:3" x14ac:dyDescent="0.25">
      <c r="C2010" s="19" t="str">
        <v/>
      </c>
    </row>
    <row r="2011" spans="3:3" x14ac:dyDescent="0.25">
      <c r="C2011" s="19" t="str">
        <v/>
      </c>
    </row>
    <row r="2012" spans="3:3" x14ac:dyDescent="0.25">
      <c r="C2012" s="19" t="str">
        <v/>
      </c>
    </row>
    <row r="2013" spans="3:3" x14ac:dyDescent="0.25">
      <c r="C2013" s="19" t="str">
        <v/>
      </c>
    </row>
    <row r="2014" spans="3:3" x14ac:dyDescent="0.25">
      <c r="C2014" s="19" t="str">
        <v/>
      </c>
    </row>
    <row r="2015" spans="3:3" x14ac:dyDescent="0.25">
      <c r="C2015" s="19" t="str">
        <v/>
      </c>
    </row>
    <row r="2016" spans="3:3" x14ac:dyDescent="0.25">
      <c r="C2016" s="19" t="str">
        <v/>
      </c>
    </row>
    <row r="2017" spans="3:3" x14ac:dyDescent="0.25">
      <c r="C2017" s="19" t="str">
        <v/>
      </c>
    </row>
    <row r="2018" spans="3:3" x14ac:dyDescent="0.25">
      <c r="C2018" s="19" t="str">
        <v/>
      </c>
    </row>
    <row r="2019" spans="3:3" x14ac:dyDescent="0.25">
      <c r="C2019" s="19" t="str">
        <v/>
      </c>
    </row>
    <row r="2020" spans="3:3" x14ac:dyDescent="0.25">
      <c r="C2020" s="19" t="str">
        <v/>
      </c>
    </row>
    <row r="2021" spans="3:3" x14ac:dyDescent="0.25">
      <c r="C2021" s="19" t="str">
        <v/>
      </c>
    </row>
    <row r="2022" spans="3:3" x14ac:dyDescent="0.25">
      <c r="C2022" s="19" t="str">
        <v/>
      </c>
    </row>
    <row r="2023" spans="3:3" x14ac:dyDescent="0.25">
      <c r="C2023" s="19" t="str">
        <v/>
      </c>
    </row>
    <row r="2024" spans="3:3" x14ac:dyDescent="0.25">
      <c r="C2024" s="19" t="str">
        <v/>
      </c>
    </row>
    <row r="2025" spans="3:3" x14ac:dyDescent="0.25">
      <c r="C2025" s="19" t="str">
        <v/>
      </c>
    </row>
    <row r="2026" spans="3:3" x14ac:dyDescent="0.25">
      <c r="C2026" s="19" t="str">
        <v/>
      </c>
    </row>
    <row r="2027" spans="3:3" x14ac:dyDescent="0.25">
      <c r="C2027" s="19" t="str">
        <v/>
      </c>
    </row>
    <row r="2028" spans="3:3" x14ac:dyDescent="0.25">
      <c r="C2028" s="19" t="str">
        <v/>
      </c>
    </row>
    <row r="2029" spans="3:3" x14ac:dyDescent="0.25">
      <c r="C2029" s="19" t="str">
        <v/>
      </c>
    </row>
    <row r="2030" spans="3:3" x14ac:dyDescent="0.25">
      <c r="C2030" s="19" t="str">
        <v/>
      </c>
    </row>
    <row r="2031" spans="3:3" x14ac:dyDescent="0.25">
      <c r="C2031" s="19" t="str">
        <v/>
      </c>
    </row>
    <row r="2032" spans="3:3" x14ac:dyDescent="0.25">
      <c r="C2032" s="19" t="str">
        <v/>
      </c>
    </row>
    <row r="2033" spans="3:3" x14ac:dyDescent="0.25">
      <c r="C2033" s="19" t="str">
        <v/>
      </c>
    </row>
    <row r="2034" spans="3:3" x14ac:dyDescent="0.25">
      <c r="C2034" s="19" t="str">
        <v/>
      </c>
    </row>
    <row r="2035" spans="3:3" x14ac:dyDescent="0.25">
      <c r="C2035" s="19" t="str">
        <v/>
      </c>
    </row>
    <row r="2036" spans="3:3" x14ac:dyDescent="0.25">
      <c r="C2036" s="19" t="str">
        <v/>
      </c>
    </row>
    <row r="2037" spans="3:3" x14ac:dyDescent="0.25">
      <c r="C2037" s="19" t="str">
        <v/>
      </c>
    </row>
    <row r="2038" spans="3:3" x14ac:dyDescent="0.25">
      <c r="C2038" s="19" t="str">
        <v/>
      </c>
    </row>
    <row r="2039" spans="3:3" x14ac:dyDescent="0.25">
      <c r="C2039" s="19" t="str">
        <v/>
      </c>
    </row>
    <row r="2040" spans="3:3" x14ac:dyDescent="0.25">
      <c r="C2040" s="19" t="str">
        <v/>
      </c>
    </row>
    <row r="2041" spans="3:3" x14ac:dyDescent="0.25">
      <c r="C2041" s="19" t="str">
        <v/>
      </c>
    </row>
    <row r="2042" spans="3:3" x14ac:dyDescent="0.25">
      <c r="C2042" s="19" t="str">
        <v/>
      </c>
    </row>
    <row r="2043" spans="3:3" x14ac:dyDescent="0.25">
      <c r="C2043" s="19" t="str">
        <v/>
      </c>
    </row>
    <row r="2044" spans="3:3" x14ac:dyDescent="0.25">
      <c r="C2044" s="19" t="str">
        <v/>
      </c>
    </row>
    <row r="2045" spans="3:3" x14ac:dyDescent="0.25">
      <c r="C2045" s="19" t="str">
        <v/>
      </c>
    </row>
    <row r="2046" spans="3:3" x14ac:dyDescent="0.25">
      <c r="C2046" s="19" t="str">
        <v/>
      </c>
    </row>
    <row r="2047" spans="3:3" x14ac:dyDescent="0.25">
      <c r="C2047" s="19" t="str">
        <v/>
      </c>
    </row>
    <row r="2048" spans="3:3" x14ac:dyDescent="0.25">
      <c r="C2048" s="19" t="str">
        <v/>
      </c>
    </row>
    <row r="2049" spans="3:3" x14ac:dyDescent="0.25">
      <c r="C2049" s="19" t="str">
        <v/>
      </c>
    </row>
    <row r="2050" spans="3:3" x14ac:dyDescent="0.25">
      <c r="C2050" s="19" t="str">
        <v/>
      </c>
    </row>
    <row r="2051" spans="3:3" x14ac:dyDescent="0.25">
      <c r="C2051" s="19" t="str">
        <v/>
      </c>
    </row>
    <row r="2052" spans="3:3" x14ac:dyDescent="0.25">
      <c r="C2052" s="19" t="str">
        <v/>
      </c>
    </row>
    <row r="2053" spans="3:3" x14ac:dyDescent="0.25">
      <c r="C2053" s="19" t="str">
        <v/>
      </c>
    </row>
    <row r="2054" spans="3:3" x14ac:dyDescent="0.25">
      <c r="C2054" s="19" t="str">
        <v/>
      </c>
    </row>
    <row r="2055" spans="3:3" x14ac:dyDescent="0.25">
      <c r="C2055" s="19" t="str">
        <v/>
      </c>
    </row>
    <row r="2056" spans="3:3" x14ac:dyDescent="0.25">
      <c r="C2056" s="19" t="str">
        <v/>
      </c>
    </row>
    <row r="2057" spans="3:3" x14ac:dyDescent="0.25">
      <c r="C2057" s="19" t="str">
        <v/>
      </c>
    </row>
    <row r="2058" spans="3:3" x14ac:dyDescent="0.25">
      <c r="C2058" s="19" t="str">
        <v/>
      </c>
    </row>
    <row r="2059" spans="3:3" x14ac:dyDescent="0.25">
      <c r="C2059" s="19" t="str">
        <v/>
      </c>
    </row>
    <row r="2060" spans="3:3" x14ac:dyDescent="0.25">
      <c r="C2060" s="19" t="str">
        <v/>
      </c>
    </row>
    <row r="2061" spans="3:3" x14ac:dyDescent="0.25">
      <c r="C2061" s="19" t="str">
        <v/>
      </c>
    </row>
    <row r="2062" spans="3:3" x14ac:dyDescent="0.25">
      <c r="C2062" s="19" t="str">
        <v/>
      </c>
    </row>
    <row r="2063" spans="3:3" x14ac:dyDescent="0.25">
      <c r="C2063" s="19" t="str">
        <v/>
      </c>
    </row>
    <row r="2064" spans="3:3" x14ac:dyDescent="0.25">
      <c r="C2064" s="19" t="str">
        <v/>
      </c>
    </row>
    <row r="2065" spans="3:3" x14ac:dyDescent="0.25">
      <c r="C2065" s="19" t="str">
        <v/>
      </c>
    </row>
    <row r="2066" spans="3:3" x14ac:dyDescent="0.25">
      <c r="C2066" s="19" t="str">
        <v/>
      </c>
    </row>
    <row r="2067" spans="3:3" x14ac:dyDescent="0.25">
      <c r="C2067" s="19" t="str">
        <v/>
      </c>
    </row>
    <row r="2068" spans="3:3" x14ac:dyDescent="0.25">
      <c r="C2068" s="19" t="str">
        <v/>
      </c>
    </row>
    <row r="2069" spans="3:3" x14ac:dyDescent="0.25">
      <c r="C2069" s="19" t="str">
        <v/>
      </c>
    </row>
    <row r="2070" spans="3:3" x14ac:dyDescent="0.25">
      <c r="C2070" s="19" t="str">
        <v/>
      </c>
    </row>
    <row r="2071" spans="3:3" x14ac:dyDescent="0.25">
      <c r="C2071" s="19" t="str">
        <v/>
      </c>
    </row>
    <row r="2072" spans="3:3" x14ac:dyDescent="0.25">
      <c r="C2072" s="19" t="str">
        <v/>
      </c>
    </row>
    <row r="2073" spans="3:3" x14ac:dyDescent="0.25">
      <c r="C2073" s="19" t="str">
        <v/>
      </c>
    </row>
    <row r="2074" spans="3:3" x14ac:dyDescent="0.25">
      <c r="C2074" s="19" t="str">
        <v/>
      </c>
    </row>
    <row r="2075" spans="3:3" x14ac:dyDescent="0.25">
      <c r="C2075" s="19" t="str">
        <v/>
      </c>
    </row>
    <row r="2076" spans="3:3" x14ac:dyDescent="0.25">
      <c r="C2076" s="19" t="str">
        <v/>
      </c>
    </row>
    <row r="2077" spans="3:3" x14ac:dyDescent="0.25">
      <c r="C2077" s="19" t="str">
        <v/>
      </c>
    </row>
    <row r="2078" spans="3:3" x14ac:dyDescent="0.25">
      <c r="C2078" s="19" t="str">
        <v/>
      </c>
    </row>
    <row r="2079" spans="3:3" x14ac:dyDescent="0.25">
      <c r="C2079" s="19" t="str">
        <v/>
      </c>
    </row>
    <row r="2080" spans="3:3" x14ac:dyDescent="0.25">
      <c r="C2080" s="19" t="str">
        <v/>
      </c>
    </row>
    <row r="2081" spans="3:3" x14ac:dyDescent="0.25">
      <c r="C2081" s="19" t="str">
        <v/>
      </c>
    </row>
    <row r="2082" spans="3:3" x14ac:dyDescent="0.25">
      <c r="C2082" s="19" t="str">
        <v/>
      </c>
    </row>
    <row r="2083" spans="3:3" x14ac:dyDescent="0.25">
      <c r="C2083" s="19" t="str">
        <v/>
      </c>
    </row>
    <row r="2084" spans="3:3" x14ac:dyDescent="0.25">
      <c r="C2084" s="19" t="str">
        <v/>
      </c>
    </row>
    <row r="2085" spans="3:3" x14ac:dyDescent="0.25">
      <c r="C2085" s="19" t="str">
        <v/>
      </c>
    </row>
    <row r="2086" spans="3:3" x14ac:dyDescent="0.25">
      <c r="C2086" s="19" t="str">
        <v/>
      </c>
    </row>
    <row r="2087" spans="3:3" x14ac:dyDescent="0.25">
      <c r="C2087" s="19" t="str">
        <v/>
      </c>
    </row>
    <row r="2088" spans="3:3" x14ac:dyDescent="0.25">
      <c r="C2088" s="19" t="str">
        <v/>
      </c>
    </row>
    <row r="2089" spans="3:3" x14ac:dyDescent="0.25">
      <c r="C2089" s="19" t="str">
        <v/>
      </c>
    </row>
    <row r="2090" spans="3:3" x14ac:dyDescent="0.25">
      <c r="C2090" s="19" t="str">
        <v/>
      </c>
    </row>
    <row r="2091" spans="3:3" x14ac:dyDescent="0.25">
      <c r="C2091" s="19" t="str">
        <v/>
      </c>
    </row>
    <row r="2092" spans="3:3" x14ac:dyDescent="0.25">
      <c r="C2092" s="19" t="str">
        <v/>
      </c>
    </row>
    <row r="2093" spans="3:3" x14ac:dyDescent="0.25">
      <c r="C2093" s="19" t="str">
        <v/>
      </c>
    </row>
    <row r="2094" spans="3:3" x14ac:dyDescent="0.25">
      <c r="C2094" s="19" t="str">
        <v/>
      </c>
    </row>
    <row r="2095" spans="3:3" x14ac:dyDescent="0.25">
      <c r="C2095" s="19" t="str">
        <v/>
      </c>
    </row>
    <row r="2096" spans="3:3" x14ac:dyDescent="0.25">
      <c r="C2096" s="19" t="str">
        <v/>
      </c>
    </row>
    <row r="2097" spans="3:3" x14ac:dyDescent="0.25">
      <c r="C2097" s="19" t="str">
        <v/>
      </c>
    </row>
    <row r="2098" spans="3:3" x14ac:dyDescent="0.25">
      <c r="C2098" s="19" t="str">
        <v/>
      </c>
    </row>
    <row r="2099" spans="3:3" x14ac:dyDescent="0.25">
      <c r="C2099" s="19" t="str">
        <v/>
      </c>
    </row>
    <row r="2100" spans="3:3" x14ac:dyDescent="0.25">
      <c r="C2100" s="19" t="str">
        <v/>
      </c>
    </row>
    <row r="2101" spans="3:3" x14ac:dyDescent="0.25">
      <c r="C2101" s="19" t="str">
        <v/>
      </c>
    </row>
    <row r="2102" spans="3:3" x14ac:dyDescent="0.25">
      <c r="C2102" s="19" t="str">
        <v/>
      </c>
    </row>
    <row r="2103" spans="3:3" x14ac:dyDescent="0.25">
      <c r="C2103" s="19" t="str">
        <v/>
      </c>
    </row>
    <row r="2104" spans="3:3" x14ac:dyDescent="0.25">
      <c r="C2104" s="19" t="str">
        <v/>
      </c>
    </row>
    <row r="2105" spans="3:3" x14ac:dyDescent="0.25">
      <c r="C2105" s="19" t="str">
        <v/>
      </c>
    </row>
    <row r="2106" spans="3:3" x14ac:dyDescent="0.25">
      <c r="C2106" s="19" t="str">
        <v/>
      </c>
    </row>
    <row r="2107" spans="3:3" x14ac:dyDescent="0.25">
      <c r="C2107" s="19" t="str">
        <v/>
      </c>
    </row>
    <row r="2108" spans="3:3" x14ac:dyDescent="0.25">
      <c r="C2108" s="19" t="str">
        <v/>
      </c>
    </row>
    <row r="2109" spans="3:3" x14ac:dyDescent="0.25">
      <c r="C2109" s="19" t="str">
        <v/>
      </c>
    </row>
    <row r="2110" spans="3:3" x14ac:dyDescent="0.25">
      <c r="C2110" s="19" t="str">
        <v/>
      </c>
    </row>
    <row r="2111" spans="3:3" x14ac:dyDescent="0.25">
      <c r="C2111" s="19" t="str">
        <v/>
      </c>
    </row>
    <row r="2112" spans="3:3" x14ac:dyDescent="0.25">
      <c r="C2112" s="19" t="str">
        <v/>
      </c>
    </row>
    <row r="2113" spans="3:3" x14ac:dyDescent="0.25">
      <c r="C2113" s="19" t="str">
        <v/>
      </c>
    </row>
    <row r="2114" spans="3:3" x14ac:dyDescent="0.25">
      <c r="C2114" s="19" t="str">
        <v/>
      </c>
    </row>
    <row r="2115" spans="3:3" x14ac:dyDescent="0.25">
      <c r="C2115" s="19" t="str">
        <v/>
      </c>
    </row>
    <row r="2116" spans="3:3" x14ac:dyDescent="0.25">
      <c r="C2116" s="19" t="str">
        <v/>
      </c>
    </row>
    <row r="2117" spans="3:3" x14ac:dyDescent="0.25">
      <c r="C2117" s="19" t="str">
        <v/>
      </c>
    </row>
    <row r="2118" spans="3:3" x14ac:dyDescent="0.25">
      <c r="C2118" s="19" t="str">
        <v/>
      </c>
    </row>
    <row r="2119" spans="3:3" x14ac:dyDescent="0.25">
      <c r="C2119" s="19" t="str">
        <v/>
      </c>
    </row>
    <row r="2120" spans="3:3" x14ac:dyDescent="0.25">
      <c r="C2120" s="19" t="str">
        <v/>
      </c>
    </row>
    <row r="2121" spans="3:3" x14ac:dyDescent="0.25">
      <c r="C2121" s="19" t="str">
        <v/>
      </c>
    </row>
    <row r="2122" spans="3:3" x14ac:dyDescent="0.25">
      <c r="C2122" s="19" t="str">
        <v/>
      </c>
    </row>
    <row r="2123" spans="3:3" x14ac:dyDescent="0.25">
      <c r="C2123" s="19" t="str">
        <v/>
      </c>
    </row>
    <row r="2124" spans="3:3" x14ac:dyDescent="0.25">
      <c r="C2124" s="19" t="str">
        <v/>
      </c>
    </row>
    <row r="2125" spans="3:3" x14ac:dyDescent="0.25">
      <c r="C2125" s="19" t="str">
        <v/>
      </c>
    </row>
    <row r="2126" spans="3:3" x14ac:dyDescent="0.25">
      <c r="C2126" s="19" t="str">
        <v/>
      </c>
    </row>
    <row r="2127" spans="3:3" x14ac:dyDescent="0.25">
      <c r="C2127" s="19" t="str">
        <v/>
      </c>
    </row>
    <row r="2128" spans="3:3" x14ac:dyDescent="0.25">
      <c r="C2128" s="19" t="str">
        <v/>
      </c>
    </row>
    <row r="2129" spans="3:3" x14ac:dyDescent="0.25">
      <c r="C2129" s="19" t="str">
        <v/>
      </c>
    </row>
    <row r="2130" spans="3:3" x14ac:dyDescent="0.25">
      <c r="C2130" s="19" t="str">
        <v/>
      </c>
    </row>
    <row r="2131" spans="3:3" x14ac:dyDescent="0.25">
      <c r="C2131" s="19" t="str">
        <v/>
      </c>
    </row>
    <row r="2132" spans="3:3" x14ac:dyDescent="0.25">
      <c r="C2132" s="19" t="str">
        <v/>
      </c>
    </row>
    <row r="2133" spans="3:3" x14ac:dyDescent="0.25">
      <c r="C2133" s="19" t="str">
        <v/>
      </c>
    </row>
    <row r="2134" spans="3:3" x14ac:dyDescent="0.25">
      <c r="C2134" s="19" t="str">
        <v/>
      </c>
    </row>
    <row r="2135" spans="3:3" x14ac:dyDescent="0.25">
      <c r="C2135" s="19" t="str">
        <v/>
      </c>
    </row>
    <row r="2136" spans="3:3" x14ac:dyDescent="0.25">
      <c r="C2136" s="19" t="str">
        <v/>
      </c>
    </row>
    <row r="2137" spans="3:3" x14ac:dyDescent="0.25">
      <c r="C2137" s="19" t="str">
        <v/>
      </c>
    </row>
    <row r="2138" spans="3:3" x14ac:dyDescent="0.25">
      <c r="C2138" s="19" t="str">
        <v/>
      </c>
    </row>
    <row r="2139" spans="3:3" x14ac:dyDescent="0.25">
      <c r="C2139" s="19" t="str">
        <v/>
      </c>
    </row>
    <row r="2140" spans="3:3" x14ac:dyDescent="0.25">
      <c r="C2140" s="19" t="str">
        <v/>
      </c>
    </row>
    <row r="2141" spans="3:3" x14ac:dyDescent="0.25">
      <c r="C2141" s="19" t="str">
        <v/>
      </c>
    </row>
    <row r="2142" spans="3:3" x14ac:dyDescent="0.25">
      <c r="C2142" s="19" t="str">
        <v/>
      </c>
    </row>
    <row r="2143" spans="3:3" x14ac:dyDescent="0.25">
      <c r="C2143" s="19" t="str">
        <v/>
      </c>
    </row>
    <row r="2144" spans="3:3" x14ac:dyDescent="0.25">
      <c r="C2144" s="19" t="str">
        <v/>
      </c>
    </row>
    <row r="2145" spans="3:3" x14ac:dyDescent="0.25">
      <c r="C2145" s="19" t="str">
        <v/>
      </c>
    </row>
    <row r="2146" spans="3:3" x14ac:dyDescent="0.25">
      <c r="C2146" s="19" t="str">
        <v/>
      </c>
    </row>
    <row r="2147" spans="3:3" x14ac:dyDescent="0.25">
      <c r="C2147" s="19" t="str">
        <v/>
      </c>
    </row>
    <row r="2148" spans="3:3" x14ac:dyDescent="0.25">
      <c r="C2148" s="19" t="str">
        <v/>
      </c>
    </row>
    <row r="2149" spans="3:3" x14ac:dyDescent="0.25">
      <c r="C2149" s="19" t="str">
        <v/>
      </c>
    </row>
    <row r="2150" spans="3:3" x14ac:dyDescent="0.25">
      <c r="C2150" s="19" t="str">
        <v/>
      </c>
    </row>
    <row r="2151" spans="3:3" x14ac:dyDescent="0.25">
      <c r="C2151" s="19" t="str">
        <v/>
      </c>
    </row>
    <row r="2152" spans="3:3" x14ac:dyDescent="0.25">
      <c r="C2152" s="19" t="str">
        <v/>
      </c>
    </row>
    <row r="2153" spans="3:3" x14ac:dyDescent="0.25">
      <c r="C2153" s="19" t="str">
        <v/>
      </c>
    </row>
    <row r="2154" spans="3:3" x14ac:dyDescent="0.25">
      <c r="C2154" s="19" t="str">
        <v/>
      </c>
    </row>
    <row r="2155" spans="3:3" x14ac:dyDescent="0.25">
      <c r="C2155" s="19" t="str">
        <v/>
      </c>
    </row>
    <row r="2156" spans="3:3" x14ac:dyDescent="0.25">
      <c r="C2156" s="19" t="str">
        <v/>
      </c>
    </row>
    <row r="2157" spans="3:3" x14ac:dyDescent="0.25">
      <c r="C2157" s="19" t="str">
        <v/>
      </c>
    </row>
    <row r="2158" spans="3:3" x14ac:dyDescent="0.25">
      <c r="C2158" s="19" t="str">
        <v/>
      </c>
    </row>
    <row r="2159" spans="3:3" x14ac:dyDescent="0.25">
      <c r="C2159" s="19" t="str">
        <v/>
      </c>
    </row>
    <row r="2160" spans="3:3" x14ac:dyDescent="0.25">
      <c r="C2160" s="19" t="str">
        <v/>
      </c>
    </row>
    <row r="2161" spans="3:3" x14ac:dyDescent="0.25">
      <c r="C2161" s="19" t="str">
        <v/>
      </c>
    </row>
    <row r="2162" spans="3:3" x14ac:dyDescent="0.25">
      <c r="C2162" s="19" t="str">
        <v/>
      </c>
    </row>
    <row r="2163" spans="3:3" x14ac:dyDescent="0.25">
      <c r="C2163" s="19" t="str">
        <v/>
      </c>
    </row>
    <row r="2164" spans="3:3" x14ac:dyDescent="0.25">
      <c r="C2164" s="19" t="str">
        <v/>
      </c>
    </row>
    <row r="2165" spans="3:3" x14ac:dyDescent="0.25">
      <c r="C2165" s="19" t="str">
        <v/>
      </c>
    </row>
    <row r="2166" spans="3:3" x14ac:dyDescent="0.25">
      <c r="C2166" s="19" t="str">
        <v/>
      </c>
    </row>
    <row r="2167" spans="3:3" x14ac:dyDescent="0.25">
      <c r="C2167" s="19" t="str">
        <v/>
      </c>
    </row>
    <row r="2168" spans="3:3" x14ac:dyDescent="0.25">
      <c r="C2168" s="19" t="str">
        <v/>
      </c>
    </row>
    <row r="2169" spans="3:3" x14ac:dyDescent="0.25">
      <c r="C2169" s="19" t="str">
        <v/>
      </c>
    </row>
    <row r="2170" spans="3:3" x14ac:dyDescent="0.25">
      <c r="C2170" s="19" t="str">
        <v/>
      </c>
    </row>
    <row r="2171" spans="3:3" x14ac:dyDescent="0.25">
      <c r="C2171" s="19" t="str">
        <v/>
      </c>
    </row>
    <row r="2172" spans="3:3" x14ac:dyDescent="0.25">
      <c r="C2172" s="19" t="str">
        <v/>
      </c>
    </row>
    <row r="2173" spans="3:3" x14ac:dyDescent="0.25">
      <c r="C2173" s="19" t="str">
        <v/>
      </c>
    </row>
    <row r="2174" spans="3:3" x14ac:dyDescent="0.25">
      <c r="C2174" s="19" t="str">
        <v/>
      </c>
    </row>
    <row r="2175" spans="3:3" x14ac:dyDescent="0.25">
      <c r="C2175" s="19" t="str">
        <v/>
      </c>
    </row>
    <row r="2176" spans="3:3" x14ac:dyDescent="0.25">
      <c r="C2176" s="19" t="str">
        <v/>
      </c>
    </row>
    <row r="2177" spans="3:3" x14ac:dyDescent="0.25">
      <c r="C2177" s="19" t="str">
        <v/>
      </c>
    </row>
    <row r="2178" spans="3:3" x14ac:dyDescent="0.25">
      <c r="C2178" s="19" t="str">
        <v/>
      </c>
    </row>
    <row r="2179" spans="3:3" x14ac:dyDescent="0.25">
      <c r="C2179" s="19" t="str">
        <v/>
      </c>
    </row>
    <row r="2180" spans="3:3" x14ac:dyDescent="0.25">
      <c r="C2180" s="19" t="str">
        <v/>
      </c>
    </row>
    <row r="2181" spans="3:3" x14ac:dyDescent="0.25">
      <c r="C2181" s="19" t="str">
        <v/>
      </c>
    </row>
    <row r="2182" spans="3:3" x14ac:dyDescent="0.25">
      <c r="C2182" s="19" t="str">
        <v/>
      </c>
    </row>
    <row r="2183" spans="3:3" x14ac:dyDescent="0.25">
      <c r="C2183" s="19" t="str">
        <v/>
      </c>
    </row>
    <row r="2184" spans="3:3" x14ac:dyDescent="0.25">
      <c r="C2184" s="19" t="str">
        <v/>
      </c>
    </row>
    <row r="2185" spans="3:3" x14ac:dyDescent="0.25">
      <c r="C2185" s="19" t="str">
        <v/>
      </c>
    </row>
    <row r="2186" spans="3:3" x14ac:dyDescent="0.25">
      <c r="C2186" s="19" t="str">
        <v/>
      </c>
    </row>
    <row r="2187" spans="3:3" x14ac:dyDescent="0.25">
      <c r="C2187" s="19" t="str">
        <v/>
      </c>
    </row>
    <row r="2188" spans="3:3" x14ac:dyDescent="0.25">
      <c r="C2188" s="19" t="str">
        <v/>
      </c>
    </row>
    <row r="2189" spans="3:3" x14ac:dyDescent="0.25">
      <c r="C2189" s="19" t="str">
        <v/>
      </c>
    </row>
    <row r="2190" spans="3:3" x14ac:dyDescent="0.25">
      <c r="C2190" s="19" t="str">
        <v/>
      </c>
    </row>
    <row r="2191" spans="3:3" x14ac:dyDescent="0.25">
      <c r="C2191" s="19" t="str">
        <v/>
      </c>
    </row>
    <row r="2192" spans="3:3" x14ac:dyDescent="0.25">
      <c r="C2192" s="19" t="str">
        <v/>
      </c>
    </row>
    <row r="2193" spans="3:3" x14ac:dyDescent="0.25">
      <c r="C2193" s="19" t="str">
        <v/>
      </c>
    </row>
    <row r="2194" spans="3:3" x14ac:dyDescent="0.25">
      <c r="C2194" s="19" t="str">
        <v/>
      </c>
    </row>
    <row r="2195" spans="3:3" x14ac:dyDescent="0.25">
      <c r="C2195" s="19" t="str">
        <v/>
      </c>
    </row>
    <row r="2196" spans="3:3" x14ac:dyDescent="0.25">
      <c r="C2196" s="19" t="str">
        <v/>
      </c>
    </row>
    <row r="2197" spans="3:3" x14ac:dyDescent="0.25">
      <c r="C2197" s="19" t="str">
        <v/>
      </c>
    </row>
    <row r="2198" spans="3:3" x14ac:dyDescent="0.25">
      <c r="C2198" s="19" t="str">
        <v/>
      </c>
    </row>
    <row r="2199" spans="3:3" x14ac:dyDescent="0.25">
      <c r="C2199" s="19" t="str">
        <v/>
      </c>
    </row>
    <row r="2200" spans="3:3" x14ac:dyDescent="0.25">
      <c r="C2200" s="19" t="str">
        <v/>
      </c>
    </row>
    <row r="2201" spans="3:3" x14ac:dyDescent="0.25">
      <c r="C2201" s="19" t="str">
        <v/>
      </c>
    </row>
    <row r="2202" spans="3:3" x14ac:dyDescent="0.25">
      <c r="C2202" s="19" t="str">
        <v/>
      </c>
    </row>
    <row r="2203" spans="3:3" x14ac:dyDescent="0.25">
      <c r="C2203" s="19" t="str">
        <v/>
      </c>
    </row>
    <row r="2204" spans="3:3" x14ac:dyDescent="0.25">
      <c r="C2204" s="19" t="str">
        <v/>
      </c>
    </row>
    <row r="2205" spans="3:3" x14ac:dyDescent="0.25">
      <c r="C2205" s="19" t="str">
        <v/>
      </c>
    </row>
    <row r="2206" spans="3:3" x14ac:dyDescent="0.25">
      <c r="C2206" s="19" t="str">
        <v/>
      </c>
    </row>
    <row r="2207" spans="3:3" x14ac:dyDescent="0.25">
      <c r="C2207" s="19" t="str">
        <v/>
      </c>
    </row>
    <row r="2208" spans="3:3" x14ac:dyDescent="0.25">
      <c r="C2208" s="19" t="str">
        <v/>
      </c>
    </row>
    <row r="2209" spans="3:3" x14ac:dyDescent="0.25">
      <c r="C2209" s="19" t="str">
        <v/>
      </c>
    </row>
    <row r="2210" spans="3:3" x14ac:dyDescent="0.25">
      <c r="C2210" s="19" t="str">
        <v/>
      </c>
    </row>
    <row r="2211" spans="3:3" x14ac:dyDescent="0.25">
      <c r="C2211" s="19" t="str">
        <v/>
      </c>
    </row>
    <row r="2212" spans="3:3" x14ac:dyDescent="0.25">
      <c r="C2212" s="19" t="str">
        <v/>
      </c>
    </row>
    <row r="2213" spans="3:3" x14ac:dyDescent="0.25">
      <c r="C2213" s="19" t="str">
        <v/>
      </c>
    </row>
    <row r="2214" spans="3:3" x14ac:dyDescent="0.25">
      <c r="C2214" s="19" t="str">
        <v/>
      </c>
    </row>
    <row r="2215" spans="3:3" x14ac:dyDescent="0.25">
      <c r="C2215" s="19" t="str">
        <v/>
      </c>
    </row>
    <row r="2216" spans="3:3" x14ac:dyDescent="0.25">
      <c r="C2216" s="19" t="str">
        <v/>
      </c>
    </row>
    <row r="2217" spans="3:3" x14ac:dyDescent="0.25">
      <c r="C2217" s="19" t="str">
        <v/>
      </c>
    </row>
    <row r="2218" spans="3:3" x14ac:dyDescent="0.25">
      <c r="C2218" s="19" t="str">
        <v/>
      </c>
    </row>
    <row r="2219" spans="3:3" x14ac:dyDescent="0.25">
      <c r="C2219" s="19" t="str">
        <v/>
      </c>
    </row>
    <row r="2220" spans="3:3" x14ac:dyDescent="0.25">
      <c r="C2220" s="19" t="str">
        <v/>
      </c>
    </row>
    <row r="2221" spans="3:3" x14ac:dyDescent="0.25">
      <c r="C2221" s="19" t="str">
        <v/>
      </c>
    </row>
    <row r="2222" spans="3:3" x14ac:dyDescent="0.25">
      <c r="C2222" s="19" t="str">
        <v/>
      </c>
    </row>
    <row r="2223" spans="3:3" x14ac:dyDescent="0.25">
      <c r="C2223" s="19" t="str">
        <v/>
      </c>
    </row>
    <row r="2224" spans="3:3" x14ac:dyDescent="0.25">
      <c r="C2224" s="19" t="str">
        <v/>
      </c>
    </row>
    <row r="2225" spans="3:3" x14ac:dyDescent="0.25">
      <c r="C2225" s="19" t="str">
        <v/>
      </c>
    </row>
    <row r="2226" spans="3:3" x14ac:dyDescent="0.25">
      <c r="C2226" s="19" t="str">
        <v/>
      </c>
    </row>
    <row r="2227" spans="3:3" x14ac:dyDescent="0.25">
      <c r="C2227" s="19" t="str">
        <v/>
      </c>
    </row>
    <row r="2228" spans="3:3" x14ac:dyDescent="0.25">
      <c r="C2228" s="19" t="str">
        <v/>
      </c>
    </row>
    <row r="2229" spans="3:3" x14ac:dyDescent="0.25">
      <c r="C2229" s="19" t="str">
        <v/>
      </c>
    </row>
    <row r="2230" spans="3:3" x14ac:dyDescent="0.25">
      <c r="C2230" s="19" t="str">
        <v/>
      </c>
    </row>
    <row r="2231" spans="3:3" x14ac:dyDescent="0.25">
      <c r="C2231" s="19" t="str">
        <v/>
      </c>
    </row>
    <row r="2232" spans="3:3" x14ac:dyDescent="0.25">
      <c r="C2232" s="19" t="str">
        <v/>
      </c>
    </row>
    <row r="2233" spans="3:3" x14ac:dyDescent="0.25">
      <c r="C2233" s="19" t="str">
        <v/>
      </c>
    </row>
    <row r="2234" spans="3:3" x14ac:dyDescent="0.25">
      <c r="C2234" s="19" t="str">
        <v/>
      </c>
    </row>
    <row r="2235" spans="3:3" x14ac:dyDescent="0.25">
      <c r="C2235" s="19" t="str">
        <v/>
      </c>
    </row>
    <row r="2236" spans="3:3" x14ac:dyDescent="0.25">
      <c r="C2236" s="19" t="str">
        <v/>
      </c>
    </row>
    <row r="2237" spans="3:3" x14ac:dyDescent="0.25">
      <c r="C2237" s="19" t="str">
        <v/>
      </c>
    </row>
    <row r="2238" spans="3:3" x14ac:dyDescent="0.25">
      <c r="C2238" s="19" t="str">
        <v/>
      </c>
    </row>
    <row r="2239" spans="3:3" x14ac:dyDescent="0.25">
      <c r="C2239" s="19" t="str">
        <v/>
      </c>
    </row>
    <row r="2240" spans="3:3" x14ac:dyDescent="0.25">
      <c r="C2240" s="19" t="str">
        <v/>
      </c>
    </row>
    <row r="2241" spans="3:3" x14ac:dyDescent="0.25">
      <c r="C2241" s="19" t="str">
        <v/>
      </c>
    </row>
    <row r="2242" spans="3:3" x14ac:dyDescent="0.25">
      <c r="C2242" s="19" t="str">
        <v/>
      </c>
    </row>
    <row r="2243" spans="3:3" x14ac:dyDescent="0.25">
      <c r="C2243" s="19" t="str">
        <v/>
      </c>
    </row>
    <row r="2244" spans="3:3" x14ac:dyDescent="0.25">
      <c r="C2244" s="19" t="str">
        <v/>
      </c>
    </row>
    <row r="2245" spans="3:3" x14ac:dyDescent="0.25">
      <c r="C2245" s="19" t="str">
        <v/>
      </c>
    </row>
    <row r="2246" spans="3:3" x14ac:dyDescent="0.25">
      <c r="C2246" s="19" t="str">
        <v/>
      </c>
    </row>
    <row r="2247" spans="3:3" x14ac:dyDescent="0.25">
      <c r="C2247" s="19" t="str">
        <v/>
      </c>
    </row>
    <row r="2248" spans="3:3" x14ac:dyDescent="0.25">
      <c r="C2248" s="19" t="str">
        <v/>
      </c>
    </row>
    <row r="2249" spans="3:3" x14ac:dyDescent="0.25">
      <c r="C2249" s="19" t="str">
        <v/>
      </c>
    </row>
    <row r="2250" spans="3:3" x14ac:dyDescent="0.25">
      <c r="C2250" s="19" t="str">
        <v/>
      </c>
    </row>
    <row r="2251" spans="3:3" x14ac:dyDescent="0.25">
      <c r="C2251" s="19" t="str">
        <v/>
      </c>
    </row>
    <row r="2252" spans="3:3" x14ac:dyDescent="0.25">
      <c r="C2252" s="19" t="str">
        <v/>
      </c>
    </row>
    <row r="2253" spans="3:3" x14ac:dyDescent="0.25">
      <c r="C2253" s="19" t="str">
        <v/>
      </c>
    </row>
    <row r="2254" spans="3:3" x14ac:dyDescent="0.25">
      <c r="C2254" s="19" t="str">
        <v/>
      </c>
    </row>
    <row r="2255" spans="3:3" x14ac:dyDescent="0.25">
      <c r="C2255" s="19" t="str">
        <v/>
      </c>
    </row>
    <row r="2256" spans="3:3" x14ac:dyDescent="0.25">
      <c r="C2256" s="19" t="str">
        <v/>
      </c>
    </row>
    <row r="2257" spans="3:3" x14ac:dyDescent="0.25">
      <c r="C2257" s="19" t="str">
        <v/>
      </c>
    </row>
    <row r="2258" spans="3:3" x14ac:dyDescent="0.25">
      <c r="C2258" s="19" t="str">
        <v/>
      </c>
    </row>
    <row r="2259" spans="3:3" x14ac:dyDescent="0.25">
      <c r="C2259" s="19" t="str">
        <v/>
      </c>
    </row>
    <row r="2260" spans="3:3" x14ac:dyDescent="0.25">
      <c r="C2260" s="19" t="str">
        <v/>
      </c>
    </row>
    <row r="2261" spans="3:3" x14ac:dyDescent="0.25">
      <c r="C2261" s="19" t="str">
        <v/>
      </c>
    </row>
    <row r="2262" spans="3:3" x14ac:dyDescent="0.25">
      <c r="C2262" s="19" t="str">
        <v/>
      </c>
    </row>
    <row r="2263" spans="3:3" x14ac:dyDescent="0.25">
      <c r="C2263" s="19" t="str">
        <v/>
      </c>
    </row>
    <row r="2264" spans="3:3" x14ac:dyDescent="0.25">
      <c r="C2264" s="19" t="str">
        <v/>
      </c>
    </row>
    <row r="2265" spans="3:3" x14ac:dyDescent="0.25">
      <c r="C2265" s="19" t="str">
        <v/>
      </c>
    </row>
    <row r="2266" spans="3:3" x14ac:dyDescent="0.25">
      <c r="C2266" s="19" t="str">
        <v/>
      </c>
    </row>
    <row r="2267" spans="3:3" x14ac:dyDescent="0.25">
      <c r="C2267" s="19" t="str">
        <v/>
      </c>
    </row>
    <row r="2268" spans="3:3" x14ac:dyDescent="0.25">
      <c r="C2268" s="19" t="str">
        <v/>
      </c>
    </row>
    <row r="2269" spans="3:3" x14ac:dyDescent="0.25">
      <c r="C2269" s="19" t="str">
        <v/>
      </c>
    </row>
    <row r="2270" spans="3:3" x14ac:dyDescent="0.25">
      <c r="C2270" s="19" t="str">
        <v/>
      </c>
    </row>
    <row r="2271" spans="3:3" x14ac:dyDescent="0.25">
      <c r="C2271" s="19" t="str">
        <v/>
      </c>
    </row>
    <row r="2272" spans="3:3" x14ac:dyDescent="0.25">
      <c r="C2272" s="19" t="str">
        <v/>
      </c>
    </row>
    <row r="2273" spans="3:3" x14ac:dyDescent="0.25">
      <c r="C2273" s="19" t="str">
        <v/>
      </c>
    </row>
    <row r="2274" spans="3:3" x14ac:dyDescent="0.25">
      <c r="C2274" s="19" t="str">
        <v/>
      </c>
    </row>
    <row r="2275" spans="3:3" x14ac:dyDescent="0.25">
      <c r="C2275" s="19" t="str">
        <v/>
      </c>
    </row>
    <row r="2276" spans="3:3" x14ac:dyDescent="0.25">
      <c r="C2276" s="19" t="str">
        <v/>
      </c>
    </row>
    <row r="2277" spans="3:3" x14ac:dyDescent="0.25">
      <c r="C2277" s="19" t="str">
        <v/>
      </c>
    </row>
    <row r="2278" spans="3:3" x14ac:dyDescent="0.25">
      <c r="C2278" s="19" t="str">
        <v/>
      </c>
    </row>
    <row r="2279" spans="3:3" x14ac:dyDescent="0.25">
      <c r="C2279" s="19" t="str">
        <v/>
      </c>
    </row>
    <row r="2280" spans="3:3" x14ac:dyDescent="0.25">
      <c r="C2280" s="19" t="str">
        <v/>
      </c>
    </row>
    <row r="2281" spans="3:3" x14ac:dyDescent="0.25">
      <c r="C2281" s="19" t="str">
        <v/>
      </c>
    </row>
    <row r="2282" spans="3:3" x14ac:dyDescent="0.25">
      <c r="C2282" s="19" t="str">
        <v/>
      </c>
    </row>
    <row r="2283" spans="3:3" x14ac:dyDescent="0.25">
      <c r="C2283" s="19" t="str">
        <v/>
      </c>
    </row>
    <row r="2284" spans="3:3" x14ac:dyDescent="0.25">
      <c r="C2284" s="19" t="str">
        <v/>
      </c>
    </row>
    <row r="2285" spans="3:3" x14ac:dyDescent="0.25">
      <c r="C2285" s="19" t="str">
        <v/>
      </c>
    </row>
    <row r="2286" spans="3:3" x14ac:dyDescent="0.25">
      <c r="C2286" s="19" t="str">
        <v/>
      </c>
    </row>
    <row r="2287" spans="3:3" x14ac:dyDescent="0.25">
      <c r="C2287" s="19" t="str">
        <v/>
      </c>
    </row>
    <row r="2288" spans="3:3" x14ac:dyDescent="0.25">
      <c r="C2288" s="19" t="str">
        <v/>
      </c>
    </row>
    <row r="2289" spans="3:3" x14ac:dyDescent="0.25">
      <c r="C2289" s="19" t="str">
        <v/>
      </c>
    </row>
    <row r="2290" spans="3:3" x14ac:dyDescent="0.25">
      <c r="C2290" s="19" t="str">
        <v/>
      </c>
    </row>
    <row r="2291" spans="3:3" x14ac:dyDescent="0.25">
      <c r="C2291" s="19" t="str">
        <v/>
      </c>
    </row>
    <row r="2292" spans="3:3" x14ac:dyDescent="0.25">
      <c r="C2292" s="19" t="str">
        <v/>
      </c>
    </row>
    <row r="2293" spans="3:3" x14ac:dyDescent="0.25">
      <c r="C2293" s="19" t="str">
        <v/>
      </c>
    </row>
    <row r="2294" spans="3:3" x14ac:dyDescent="0.25">
      <c r="C2294" s="19" t="str">
        <v/>
      </c>
    </row>
    <row r="2295" spans="3:3" x14ac:dyDescent="0.25">
      <c r="C2295" s="19" t="str">
        <v/>
      </c>
    </row>
    <row r="2296" spans="3:3" x14ac:dyDescent="0.25">
      <c r="C2296" s="19" t="str">
        <v/>
      </c>
    </row>
    <row r="2297" spans="3:3" x14ac:dyDescent="0.25">
      <c r="C2297" s="19" t="str">
        <v/>
      </c>
    </row>
    <row r="2298" spans="3:3" x14ac:dyDescent="0.25">
      <c r="C2298" s="19" t="str">
        <v/>
      </c>
    </row>
    <row r="2299" spans="3:3" x14ac:dyDescent="0.25">
      <c r="C2299" s="19" t="str">
        <v/>
      </c>
    </row>
    <row r="2300" spans="3:3" x14ac:dyDescent="0.25">
      <c r="C2300" s="19" t="str">
        <v/>
      </c>
    </row>
    <row r="2301" spans="3:3" x14ac:dyDescent="0.25">
      <c r="C2301" s="19" t="str">
        <v/>
      </c>
    </row>
    <row r="2302" spans="3:3" x14ac:dyDescent="0.25">
      <c r="C2302" s="19" t="str">
        <v/>
      </c>
    </row>
    <row r="2303" spans="3:3" x14ac:dyDescent="0.25">
      <c r="C2303" s="19" t="str">
        <v/>
      </c>
    </row>
    <row r="2304" spans="3:3" x14ac:dyDescent="0.25">
      <c r="C2304" s="19" t="str">
        <v/>
      </c>
    </row>
    <row r="2305" spans="3:3" x14ac:dyDescent="0.25">
      <c r="C2305" s="19" t="str">
        <v/>
      </c>
    </row>
    <row r="2306" spans="3:3" x14ac:dyDescent="0.25">
      <c r="C2306" s="19" t="str">
        <v/>
      </c>
    </row>
    <row r="2307" spans="3:3" x14ac:dyDescent="0.25">
      <c r="C2307" s="19" t="str">
        <v/>
      </c>
    </row>
    <row r="2308" spans="3:3" x14ac:dyDescent="0.25">
      <c r="C2308" s="19" t="str">
        <v/>
      </c>
    </row>
    <row r="2309" spans="3:3" x14ac:dyDescent="0.25">
      <c r="C2309" s="19" t="str">
        <v/>
      </c>
    </row>
    <row r="2310" spans="3:3" x14ac:dyDescent="0.25">
      <c r="C2310" s="19" t="str">
        <v/>
      </c>
    </row>
    <row r="2311" spans="3:3" x14ac:dyDescent="0.25">
      <c r="C2311" s="19" t="str">
        <v/>
      </c>
    </row>
    <row r="2312" spans="3:3" x14ac:dyDescent="0.25">
      <c r="C2312" s="19" t="str">
        <v/>
      </c>
    </row>
    <row r="2313" spans="3:3" x14ac:dyDescent="0.25">
      <c r="C2313" s="19" t="str">
        <v/>
      </c>
    </row>
    <row r="2314" spans="3:3" x14ac:dyDescent="0.25">
      <c r="C2314" s="19" t="str">
        <v/>
      </c>
    </row>
    <row r="2315" spans="3:3" x14ac:dyDescent="0.25">
      <c r="C2315" s="19" t="str">
        <v/>
      </c>
    </row>
    <row r="2316" spans="3:3" x14ac:dyDescent="0.25">
      <c r="C2316" s="19" t="str">
        <v/>
      </c>
    </row>
    <row r="2317" spans="3:3" x14ac:dyDescent="0.25">
      <c r="C2317" s="19" t="str">
        <v/>
      </c>
    </row>
    <row r="2318" spans="3:3" x14ac:dyDescent="0.25">
      <c r="C2318" s="19" t="str">
        <v/>
      </c>
    </row>
    <row r="2319" spans="3:3" x14ac:dyDescent="0.25">
      <c r="C2319" s="19" t="str">
        <v/>
      </c>
    </row>
    <row r="2320" spans="3:3" x14ac:dyDescent="0.25">
      <c r="C2320" s="19" t="str">
        <v/>
      </c>
    </row>
    <row r="2321" spans="3:3" x14ac:dyDescent="0.25">
      <c r="C2321" s="19" t="str">
        <v/>
      </c>
    </row>
    <row r="2322" spans="3:3" x14ac:dyDescent="0.25">
      <c r="C2322" s="19" t="str">
        <v/>
      </c>
    </row>
    <row r="2323" spans="3:3" x14ac:dyDescent="0.25">
      <c r="C2323" s="19" t="str">
        <v/>
      </c>
    </row>
    <row r="2324" spans="3:3" x14ac:dyDescent="0.25">
      <c r="C2324" s="19" t="str">
        <v/>
      </c>
    </row>
    <row r="2325" spans="3:3" x14ac:dyDescent="0.25">
      <c r="C2325" s="19" t="str">
        <v/>
      </c>
    </row>
    <row r="2326" spans="3:3" x14ac:dyDescent="0.25">
      <c r="C2326" s="19" t="str">
        <v/>
      </c>
    </row>
    <row r="2327" spans="3:3" x14ac:dyDescent="0.25">
      <c r="C2327" s="19" t="str">
        <v/>
      </c>
    </row>
    <row r="2328" spans="3:3" x14ac:dyDescent="0.25">
      <c r="C2328" s="19" t="str">
        <v/>
      </c>
    </row>
    <row r="2329" spans="3:3" x14ac:dyDescent="0.25">
      <c r="C2329" s="19" t="str">
        <v/>
      </c>
    </row>
    <row r="2330" spans="3:3" x14ac:dyDescent="0.25">
      <c r="C2330" s="19" t="str">
        <v/>
      </c>
    </row>
    <row r="2331" spans="3:3" x14ac:dyDescent="0.25">
      <c r="C2331" s="19" t="str">
        <v/>
      </c>
    </row>
    <row r="2332" spans="3:3" x14ac:dyDescent="0.25">
      <c r="C2332" s="19" t="str">
        <v/>
      </c>
    </row>
    <row r="2333" spans="3:3" x14ac:dyDescent="0.25">
      <c r="C2333" s="19" t="str">
        <v/>
      </c>
    </row>
    <row r="2334" spans="3:3" x14ac:dyDescent="0.25">
      <c r="C2334" s="19" t="str">
        <v/>
      </c>
    </row>
    <row r="2335" spans="3:3" x14ac:dyDescent="0.25">
      <c r="C2335" s="19" t="str">
        <v/>
      </c>
    </row>
    <row r="2336" spans="3:3" x14ac:dyDescent="0.25">
      <c r="C2336" s="19" t="str">
        <v/>
      </c>
    </row>
    <row r="2337" spans="3:3" x14ac:dyDescent="0.25">
      <c r="C2337" s="19" t="str">
        <v/>
      </c>
    </row>
    <row r="2338" spans="3:3" x14ac:dyDescent="0.25">
      <c r="C2338" s="19" t="str">
        <v/>
      </c>
    </row>
    <row r="2339" spans="3:3" x14ac:dyDescent="0.25">
      <c r="C2339" s="19" t="str">
        <v/>
      </c>
    </row>
    <row r="2340" spans="3:3" x14ac:dyDescent="0.25">
      <c r="C2340" s="19" t="str">
        <v/>
      </c>
    </row>
    <row r="2341" spans="3:3" x14ac:dyDescent="0.25">
      <c r="C2341" s="19" t="str">
        <v/>
      </c>
    </row>
    <row r="2342" spans="3:3" x14ac:dyDescent="0.25">
      <c r="C2342" s="19" t="str">
        <v/>
      </c>
    </row>
    <row r="2343" spans="3:3" x14ac:dyDescent="0.25">
      <c r="C2343" s="19" t="str">
        <v/>
      </c>
    </row>
    <row r="2344" spans="3:3" x14ac:dyDescent="0.25">
      <c r="C2344" s="19" t="str">
        <v/>
      </c>
    </row>
    <row r="2345" spans="3:3" x14ac:dyDescent="0.25">
      <c r="C2345" s="19" t="str">
        <v/>
      </c>
    </row>
    <row r="2346" spans="3:3" x14ac:dyDescent="0.25">
      <c r="C2346" s="19" t="str">
        <v/>
      </c>
    </row>
    <row r="2347" spans="3:3" x14ac:dyDescent="0.25">
      <c r="C2347" s="19" t="str">
        <v/>
      </c>
    </row>
    <row r="2348" spans="3:3" x14ac:dyDescent="0.25">
      <c r="C2348" s="19" t="str">
        <v/>
      </c>
    </row>
    <row r="2349" spans="3:3" x14ac:dyDescent="0.25">
      <c r="C2349" s="19" t="str">
        <v/>
      </c>
    </row>
    <row r="2350" spans="3:3" x14ac:dyDescent="0.25">
      <c r="C2350" s="19" t="str">
        <v/>
      </c>
    </row>
    <row r="2351" spans="3:3" x14ac:dyDescent="0.25">
      <c r="C2351" s="19" t="str">
        <v/>
      </c>
    </row>
    <row r="2352" spans="3:3" x14ac:dyDescent="0.25">
      <c r="C2352" s="19" t="str">
        <v/>
      </c>
    </row>
    <row r="2353" spans="3:3" x14ac:dyDescent="0.25">
      <c r="C2353" s="19" t="str">
        <v/>
      </c>
    </row>
    <row r="2354" spans="3:3" x14ac:dyDescent="0.25">
      <c r="C2354" s="19" t="str">
        <v/>
      </c>
    </row>
    <row r="2355" spans="3:3" x14ac:dyDescent="0.25">
      <c r="C2355" s="19" t="str">
        <v/>
      </c>
    </row>
    <row r="2356" spans="3:3" x14ac:dyDescent="0.25">
      <c r="C2356" s="19" t="str">
        <v/>
      </c>
    </row>
    <row r="2357" spans="3:3" x14ac:dyDescent="0.25">
      <c r="C2357" s="19" t="str">
        <v/>
      </c>
    </row>
    <row r="2358" spans="3:3" x14ac:dyDescent="0.25">
      <c r="C2358" s="19" t="str">
        <v/>
      </c>
    </row>
    <row r="2359" spans="3:3" x14ac:dyDescent="0.25">
      <c r="C2359" s="19" t="str">
        <v/>
      </c>
    </row>
    <row r="2360" spans="3:3" x14ac:dyDescent="0.25">
      <c r="C2360" s="19" t="str">
        <v/>
      </c>
    </row>
    <row r="2361" spans="3:3" x14ac:dyDescent="0.25">
      <c r="C2361" s="19" t="str">
        <v/>
      </c>
    </row>
    <row r="2362" spans="3:3" x14ac:dyDescent="0.25">
      <c r="C2362" s="19" t="str">
        <v/>
      </c>
    </row>
    <row r="2363" spans="3:3" x14ac:dyDescent="0.25">
      <c r="C2363" s="19" t="str">
        <v/>
      </c>
    </row>
    <row r="2364" spans="3:3" x14ac:dyDescent="0.25">
      <c r="C2364" s="19" t="str">
        <v/>
      </c>
    </row>
    <row r="2365" spans="3:3" x14ac:dyDescent="0.25">
      <c r="C2365" s="19" t="str">
        <v/>
      </c>
    </row>
    <row r="2366" spans="3:3" x14ac:dyDescent="0.25">
      <c r="C2366" s="19" t="str">
        <v/>
      </c>
    </row>
    <row r="2367" spans="3:3" x14ac:dyDescent="0.25">
      <c r="C2367" s="19" t="str">
        <v/>
      </c>
    </row>
    <row r="2368" spans="3:3" x14ac:dyDescent="0.25">
      <c r="C2368" s="19" t="str">
        <v/>
      </c>
    </row>
    <row r="2369" spans="3:3" x14ac:dyDescent="0.25">
      <c r="C2369" s="19" t="str">
        <v/>
      </c>
    </row>
    <row r="2370" spans="3:3" x14ac:dyDescent="0.25">
      <c r="C2370" s="19" t="str">
        <v/>
      </c>
    </row>
    <row r="2371" spans="3:3" x14ac:dyDescent="0.25">
      <c r="C2371" s="19" t="str">
        <v/>
      </c>
    </row>
    <row r="2372" spans="3:3" x14ac:dyDescent="0.25">
      <c r="C2372" s="19" t="str">
        <v/>
      </c>
    </row>
    <row r="2373" spans="3:3" x14ac:dyDescent="0.25">
      <c r="C2373" s="19" t="str">
        <v/>
      </c>
    </row>
    <row r="2374" spans="3:3" x14ac:dyDescent="0.25">
      <c r="C2374" s="19" t="str">
        <v/>
      </c>
    </row>
    <row r="2375" spans="3:3" x14ac:dyDescent="0.25">
      <c r="C2375" s="19" t="str">
        <v/>
      </c>
    </row>
    <row r="2376" spans="3:3" x14ac:dyDescent="0.25">
      <c r="C2376" s="19" t="str">
        <v/>
      </c>
    </row>
    <row r="2377" spans="3:3" x14ac:dyDescent="0.25">
      <c r="C2377" s="19" t="str">
        <v/>
      </c>
    </row>
    <row r="2378" spans="3:3" x14ac:dyDescent="0.25">
      <c r="C2378" s="19" t="str">
        <v/>
      </c>
    </row>
    <row r="2379" spans="3:3" x14ac:dyDescent="0.25">
      <c r="C2379" s="19" t="str">
        <v/>
      </c>
    </row>
    <row r="2380" spans="3:3" x14ac:dyDescent="0.25">
      <c r="C2380" s="19" t="str">
        <v/>
      </c>
    </row>
    <row r="2381" spans="3:3" x14ac:dyDescent="0.25">
      <c r="C2381" s="19" t="str">
        <v/>
      </c>
    </row>
    <row r="2382" spans="3:3" x14ac:dyDescent="0.25">
      <c r="C2382" s="19" t="str">
        <v/>
      </c>
    </row>
    <row r="2383" spans="3:3" x14ac:dyDescent="0.25">
      <c r="C2383" s="19" t="str">
        <v/>
      </c>
    </row>
    <row r="2384" spans="3:3" x14ac:dyDescent="0.25">
      <c r="C2384" s="19" t="str">
        <v/>
      </c>
    </row>
    <row r="2385" spans="3:3" x14ac:dyDescent="0.25">
      <c r="C2385" s="19" t="str">
        <v/>
      </c>
    </row>
    <row r="2386" spans="3:3" x14ac:dyDescent="0.25">
      <c r="C2386" s="19" t="str">
        <v/>
      </c>
    </row>
    <row r="2387" spans="3:3" x14ac:dyDescent="0.25">
      <c r="C2387" s="19" t="str">
        <v/>
      </c>
    </row>
    <row r="2388" spans="3:3" x14ac:dyDescent="0.25">
      <c r="C2388" s="19" t="str">
        <v/>
      </c>
    </row>
    <row r="2389" spans="3:3" x14ac:dyDescent="0.25">
      <c r="C2389" s="19" t="str">
        <v/>
      </c>
    </row>
    <row r="2390" spans="3:3" x14ac:dyDescent="0.25">
      <c r="C2390" s="19" t="str">
        <v/>
      </c>
    </row>
    <row r="2391" spans="3:3" x14ac:dyDescent="0.25">
      <c r="C2391" s="19" t="str">
        <v/>
      </c>
    </row>
    <row r="2392" spans="3:3" x14ac:dyDescent="0.25">
      <c r="C2392" s="19" t="str">
        <v/>
      </c>
    </row>
    <row r="2393" spans="3:3" x14ac:dyDescent="0.25">
      <c r="C2393" s="19" t="str">
        <v/>
      </c>
    </row>
    <row r="2394" spans="3:3" x14ac:dyDescent="0.25">
      <c r="C2394" s="19" t="str">
        <v/>
      </c>
    </row>
    <row r="2395" spans="3:3" x14ac:dyDescent="0.25">
      <c r="C2395" s="19" t="str">
        <v/>
      </c>
    </row>
    <row r="2396" spans="3:3" x14ac:dyDescent="0.25">
      <c r="C2396" s="19" t="str">
        <v/>
      </c>
    </row>
    <row r="2397" spans="3:3" x14ac:dyDescent="0.25">
      <c r="C2397" s="19" t="str">
        <v/>
      </c>
    </row>
    <row r="2398" spans="3:3" x14ac:dyDescent="0.25">
      <c r="C2398" s="19" t="str">
        <v/>
      </c>
    </row>
    <row r="2399" spans="3:3" x14ac:dyDescent="0.25">
      <c r="C2399" s="19" t="str">
        <v/>
      </c>
    </row>
    <row r="2400" spans="3:3" x14ac:dyDescent="0.25">
      <c r="C2400" s="19" t="str">
        <v/>
      </c>
    </row>
    <row r="2401" spans="3:3" x14ac:dyDescent="0.25">
      <c r="C2401" s="19" t="str">
        <v/>
      </c>
    </row>
    <row r="2402" spans="3:3" x14ac:dyDescent="0.25">
      <c r="C2402" s="19" t="str">
        <v/>
      </c>
    </row>
    <row r="2403" spans="3:3" x14ac:dyDescent="0.25">
      <c r="C2403" s="19" t="str">
        <v/>
      </c>
    </row>
    <row r="2404" spans="3:3" x14ac:dyDescent="0.25">
      <c r="C2404" s="19" t="str">
        <v/>
      </c>
    </row>
    <row r="2405" spans="3:3" x14ac:dyDescent="0.25">
      <c r="C2405" s="19" t="str">
        <v/>
      </c>
    </row>
    <row r="2406" spans="3:3" x14ac:dyDescent="0.25">
      <c r="C2406" s="19" t="str">
        <v/>
      </c>
    </row>
    <row r="2407" spans="3:3" x14ac:dyDescent="0.25">
      <c r="C2407" s="19" t="str">
        <v/>
      </c>
    </row>
    <row r="2408" spans="3:3" x14ac:dyDescent="0.25">
      <c r="C2408" s="19" t="str">
        <v/>
      </c>
    </row>
    <row r="2409" spans="3:3" x14ac:dyDescent="0.25">
      <c r="C2409" s="19" t="str">
        <v/>
      </c>
    </row>
    <row r="2410" spans="3:3" x14ac:dyDescent="0.25">
      <c r="C2410" s="19" t="str">
        <v/>
      </c>
    </row>
    <row r="2411" spans="3:3" x14ac:dyDescent="0.25">
      <c r="C2411" s="19" t="str">
        <v/>
      </c>
    </row>
    <row r="2412" spans="3:3" x14ac:dyDescent="0.25">
      <c r="C2412" s="19" t="str">
        <v/>
      </c>
    </row>
    <row r="2413" spans="3:3" x14ac:dyDescent="0.25">
      <c r="C2413" s="19" t="str">
        <v/>
      </c>
    </row>
    <row r="2414" spans="3:3" x14ac:dyDescent="0.25">
      <c r="C2414" s="19" t="str">
        <v/>
      </c>
    </row>
    <row r="2415" spans="3:3" x14ac:dyDescent="0.25">
      <c r="C2415" s="19" t="str">
        <v/>
      </c>
    </row>
    <row r="2416" spans="3:3" x14ac:dyDescent="0.25">
      <c r="C2416" s="19" t="str">
        <v/>
      </c>
    </row>
    <row r="2417" spans="3:3" x14ac:dyDescent="0.25">
      <c r="C2417" s="19" t="str">
        <v/>
      </c>
    </row>
    <row r="2418" spans="3:3" x14ac:dyDescent="0.25">
      <c r="C2418" s="19" t="str">
        <v/>
      </c>
    </row>
    <row r="2419" spans="3:3" x14ac:dyDescent="0.25">
      <c r="C2419" s="19" t="str">
        <v/>
      </c>
    </row>
    <row r="2420" spans="3:3" x14ac:dyDescent="0.25">
      <c r="C2420" s="19" t="str">
        <v/>
      </c>
    </row>
    <row r="2421" spans="3:3" x14ac:dyDescent="0.25">
      <c r="C2421" s="19" t="str">
        <v/>
      </c>
    </row>
    <row r="2422" spans="3:3" x14ac:dyDescent="0.25">
      <c r="C2422" s="19" t="str">
        <v/>
      </c>
    </row>
    <row r="2423" spans="3:3" x14ac:dyDescent="0.25">
      <c r="C2423" s="19" t="str">
        <v/>
      </c>
    </row>
    <row r="2424" spans="3:3" x14ac:dyDescent="0.25">
      <c r="C2424" s="19" t="str">
        <v/>
      </c>
    </row>
    <row r="2425" spans="3:3" x14ac:dyDescent="0.25">
      <c r="C2425" s="19" t="str">
        <v/>
      </c>
    </row>
    <row r="2426" spans="3:3" x14ac:dyDescent="0.25">
      <c r="C2426" s="19" t="str">
        <v/>
      </c>
    </row>
    <row r="2427" spans="3:3" x14ac:dyDescent="0.25">
      <c r="C2427" s="19" t="str">
        <v/>
      </c>
    </row>
    <row r="2428" spans="3:3" x14ac:dyDescent="0.25">
      <c r="C2428" s="19" t="str">
        <v/>
      </c>
    </row>
    <row r="2429" spans="3:3" x14ac:dyDescent="0.25">
      <c r="C2429" s="19" t="str">
        <v/>
      </c>
    </row>
    <row r="2430" spans="3:3" x14ac:dyDescent="0.25">
      <c r="C2430" s="19" t="str">
        <v/>
      </c>
    </row>
    <row r="2431" spans="3:3" x14ac:dyDescent="0.25">
      <c r="C2431" s="19" t="str">
        <v/>
      </c>
    </row>
    <row r="2432" spans="3:3" x14ac:dyDescent="0.25">
      <c r="C2432" s="19" t="str">
        <v/>
      </c>
    </row>
    <row r="2433" spans="3:3" x14ac:dyDescent="0.25">
      <c r="C2433" s="19" t="str">
        <v/>
      </c>
    </row>
    <row r="2434" spans="3:3" x14ac:dyDescent="0.25">
      <c r="C2434" s="19" t="str">
        <v/>
      </c>
    </row>
    <row r="2435" spans="3:3" x14ac:dyDescent="0.25">
      <c r="C2435" s="19" t="str">
        <v/>
      </c>
    </row>
    <row r="2436" spans="3:3" x14ac:dyDescent="0.25">
      <c r="C2436" s="19" t="str">
        <v/>
      </c>
    </row>
    <row r="2437" spans="3:3" x14ac:dyDescent="0.25">
      <c r="C2437" s="19" t="str">
        <v/>
      </c>
    </row>
    <row r="2438" spans="3:3" x14ac:dyDescent="0.25">
      <c r="C2438" s="19" t="str">
        <v/>
      </c>
    </row>
    <row r="2439" spans="3:3" x14ac:dyDescent="0.25">
      <c r="C2439" s="19" t="str">
        <v/>
      </c>
    </row>
    <row r="2440" spans="3:3" x14ac:dyDescent="0.25">
      <c r="C2440" s="19" t="str">
        <v/>
      </c>
    </row>
    <row r="2441" spans="3:3" x14ac:dyDescent="0.25">
      <c r="C2441" s="19" t="str">
        <v/>
      </c>
    </row>
    <row r="2442" spans="3:3" x14ac:dyDescent="0.25">
      <c r="C2442" s="19" t="str">
        <v/>
      </c>
    </row>
    <row r="2443" spans="3:3" x14ac:dyDescent="0.25">
      <c r="C2443" s="19" t="str">
        <v/>
      </c>
    </row>
    <row r="2444" spans="3:3" x14ac:dyDescent="0.25">
      <c r="C2444" s="19" t="str">
        <v/>
      </c>
    </row>
    <row r="2445" spans="3:3" x14ac:dyDescent="0.25">
      <c r="C2445" s="19" t="str">
        <v/>
      </c>
    </row>
    <row r="2446" spans="3:3" x14ac:dyDescent="0.25">
      <c r="C2446" s="19" t="str">
        <v/>
      </c>
    </row>
    <row r="2447" spans="3:3" x14ac:dyDescent="0.25">
      <c r="C2447" s="19" t="str">
        <v/>
      </c>
    </row>
    <row r="2448" spans="3:3" x14ac:dyDescent="0.25">
      <c r="C2448" s="19" t="str">
        <v/>
      </c>
    </row>
    <row r="2449" spans="3:3" x14ac:dyDescent="0.25">
      <c r="C2449" s="19" t="str">
        <v/>
      </c>
    </row>
    <row r="2450" spans="3:3" x14ac:dyDescent="0.25">
      <c r="C2450" s="19" t="str">
        <v/>
      </c>
    </row>
    <row r="2451" spans="3:3" x14ac:dyDescent="0.25">
      <c r="C2451" s="19" t="str">
        <v/>
      </c>
    </row>
    <row r="2452" spans="3:3" x14ac:dyDescent="0.25">
      <c r="C2452" s="19" t="str">
        <v/>
      </c>
    </row>
    <row r="2453" spans="3:3" x14ac:dyDescent="0.25">
      <c r="C2453" s="19" t="str">
        <v/>
      </c>
    </row>
    <row r="2454" spans="3:3" x14ac:dyDescent="0.25">
      <c r="C2454" s="19" t="str">
        <v/>
      </c>
    </row>
    <row r="2455" spans="3:3" x14ac:dyDescent="0.25">
      <c r="C2455" s="19" t="str">
        <v/>
      </c>
    </row>
    <row r="2456" spans="3:3" x14ac:dyDescent="0.25">
      <c r="C2456" s="19" t="str">
        <v/>
      </c>
    </row>
    <row r="2457" spans="3:3" x14ac:dyDescent="0.25">
      <c r="C2457" s="19" t="str">
        <v/>
      </c>
    </row>
    <row r="2458" spans="3:3" x14ac:dyDescent="0.25">
      <c r="C2458" s="19" t="str">
        <v/>
      </c>
    </row>
    <row r="2459" spans="3:3" x14ac:dyDescent="0.25">
      <c r="C2459" s="19" t="str">
        <v/>
      </c>
    </row>
    <row r="2460" spans="3:3" x14ac:dyDescent="0.25">
      <c r="C2460" s="19" t="str">
        <v/>
      </c>
    </row>
    <row r="2461" spans="3:3" x14ac:dyDescent="0.25">
      <c r="C2461" s="19" t="str">
        <v/>
      </c>
    </row>
    <row r="2462" spans="3:3" x14ac:dyDescent="0.25">
      <c r="C2462" s="19" t="str">
        <v/>
      </c>
    </row>
    <row r="2463" spans="3:3" x14ac:dyDescent="0.25">
      <c r="C2463" s="19" t="str">
        <v/>
      </c>
    </row>
    <row r="2464" spans="3:3" x14ac:dyDescent="0.25">
      <c r="C2464" s="19" t="str">
        <v/>
      </c>
    </row>
    <row r="2465" spans="3:3" x14ac:dyDescent="0.25">
      <c r="C2465" s="19" t="str">
        <v/>
      </c>
    </row>
    <row r="2466" spans="3:3" x14ac:dyDescent="0.25">
      <c r="C2466" s="19" t="str">
        <v/>
      </c>
    </row>
    <row r="2467" spans="3:3" x14ac:dyDescent="0.25">
      <c r="C2467" s="19" t="str">
        <v/>
      </c>
    </row>
    <row r="2468" spans="3:3" x14ac:dyDescent="0.25">
      <c r="C2468" s="19" t="str">
        <v/>
      </c>
    </row>
    <row r="2469" spans="3:3" x14ac:dyDescent="0.25">
      <c r="C2469" s="19" t="str">
        <v/>
      </c>
    </row>
    <row r="2470" spans="3:3" x14ac:dyDescent="0.25">
      <c r="C2470" s="19" t="str">
        <v/>
      </c>
    </row>
    <row r="2471" spans="3:3" x14ac:dyDescent="0.25">
      <c r="C2471" s="19" t="str">
        <v/>
      </c>
    </row>
    <row r="2472" spans="3:3" x14ac:dyDescent="0.25">
      <c r="C2472" s="19" t="str">
        <v/>
      </c>
    </row>
    <row r="2473" spans="3:3" x14ac:dyDescent="0.25">
      <c r="C2473" s="19" t="str">
        <v/>
      </c>
    </row>
    <row r="2474" spans="3:3" x14ac:dyDescent="0.25">
      <c r="C2474" s="19" t="str">
        <v/>
      </c>
    </row>
    <row r="2475" spans="3:3" x14ac:dyDescent="0.25">
      <c r="C2475" s="19" t="str">
        <v/>
      </c>
    </row>
    <row r="2476" spans="3:3" x14ac:dyDescent="0.25">
      <c r="C2476" s="19" t="str">
        <v/>
      </c>
    </row>
    <row r="2477" spans="3:3" x14ac:dyDescent="0.25">
      <c r="C2477" s="19" t="str">
        <v/>
      </c>
    </row>
    <row r="2478" spans="3:3" x14ac:dyDescent="0.25">
      <c r="C2478" s="19" t="str">
        <v/>
      </c>
    </row>
    <row r="2479" spans="3:3" x14ac:dyDescent="0.25">
      <c r="C2479" s="19" t="str">
        <v/>
      </c>
    </row>
    <row r="2480" spans="3:3" x14ac:dyDescent="0.25">
      <c r="C2480" s="19" t="str">
        <v/>
      </c>
    </row>
    <row r="2481" spans="3:3" x14ac:dyDescent="0.25">
      <c r="C2481" s="19" t="str">
        <v/>
      </c>
    </row>
    <row r="2482" spans="3:3" x14ac:dyDescent="0.25">
      <c r="C2482" s="19" t="str">
        <v/>
      </c>
    </row>
    <row r="2483" spans="3:3" x14ac:dyDescent="0.25">
      <c r="C2483" s="19" t="str">
        <v/>
      </c>
    </row>
    <row r="2484" spans="3:3" x14ac:dyDescent="0.25">
      <c r="C2484" s="19" t="str">
        <v/>
      </c>
    </row>
    <row r="2485" spans="3:3" x14ac:dyDescent="0.25">
      <c r="C2485" s="19" t="str">
        <v/>
      </c>
    </row>
    <row r="2486" spans="3:3" x14ac:dyDescent="0.25">
      <c r="C2486" s="19" t="str">
        <v/>
      </c>
    </row>
    <row r="2487" spans="3:3" x14ac:dyDescent="0.25">
      <c r="C2487" s="19" t="str">
        <v/>
      </c>
    </row>
    <row r="2488" spans="3:3" x14ac:dyDescent="0.25">
      <c r="C2488" s="19" t="str">
        <v/>
      </c>
    </row>
    <row r="2489" spans="3:3" x14ac:dyDescent="0.25">
      <c r="C2489" s="19" t="str">
        <v/>
      </c>
    </row>
    <row r="2490" spans="3:3" x14ac:dyDescent="0.25">
      <c r="C2490" s="19" t="str">
        <v/>
      </c>
    </row>
    <row r="2491" spans="3:3" x14ac:dyDescent="0.25">
      <c r="C2491" s="19" t="str">
        <v/>
      </c>
    </row>
    <row r="2492" spans="3:3" x14ac:dyDescent="0.25">
      <c r="C2492" s="19" t="str">
        <v/>
      </c>
    </row>
    <row r="2493" spans="3:3" x14ac:dyDescent="0.25">
      <c r="C2493" s="19" t="str">
        <v/>
      </c>
    </row>
    <row r="2494" spans="3:3" x14ac:dyDescent="0.25">
      <c r="C2494" s="19" t="str">
        <v/>
      </c>
    </row>
    <row r="2495" spans="3:3" x14ac:dyDescent="0.25">
      <c r="C2495" s="19" t="str">
        <v/>
      </c>
    </row>
    <row r="2496" spans="3:3" x14ac:dyDescent="0.25">
      <c r="C2496" s="19" t="str">
        <v/>
      </c>
    </row>
    <row r="2497" spans="3:3" x14ac:dyDescent="0.25">
      <c r="C2497" s="19" t="str">
        <v/>
      </c>
    </row>
    <row r="2498" spans="3:3" x14ac:dyDescent="0.25">
      <c r="C2498" s="19" t="str">
        <v/>
      </c>
    </row>
    <row r="2499" spans="3:3" x14ac:dyDescent="0.25">
      <c r="C2499" s="19" t="str">
        <v/>
      </c>
    </row>
    <row r="2500" spans="3:3" x14ac:dyDescent="0.25">
      <c r="C2500" s="19" t="str">
        <v/>
      </c>
    </row>
    <row r="2501" spans="3:3" x14ac:dyDescent="0.25">
      <c r="C2501" s="19" t="str">
        <v/>
      </c>
    </row>
    <row r="2502" spans="3:3" x14ac:dyDescent="0.25">
      <c r="C2502" s="19" t="str">
        <v/>
      </c>
    </row>
    <row r="2503" spans="3:3" ht="15.75" thickBot="1" x14ac:dyDescent="0.3">
      <c r="C2503" s="20" t="str">
        <v/>
      </c>
    </row>
  </sheetData>
  <mergeCells count="1">
    <mergeCell ref="A3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AB88-084C-499D-8B4A-65BF804C2E4E}">
  <sheetPr>
    <tabColor theme="9" tint="0.79998168889431442"/>
  </sheetPr>
  <dimension ref="A1:L55"/>
  <sheetViews>
    <sheetView topLeftCell="A16" workbookViewId="0">
      <selection activeCell="C33" sqref="C33"/>
    </sheetView>
  </sheetViews>
  <sheetFormatPr defaultRowHeight="15" x14ac:dyDescent="0.25"/>
  <cols>
    <col min="2" max="2" width="16.28515625" bestFit="1" customWidth="1"/>
    <col min="3" max="3" width="16.28515625" customWidth="1"/>
    <col min="4" max="4" width="16.42578125" customWidth="1"/>
    <col min="5" max="5" width="15.5703125" bestFit="1" customWidth="1"/>
    <col min="6" max="6" width="12.28515625" bestFit="1" customWidth="1"/>
    <col min="10" max="10" width="22.28515625" bestFit="1" customWidth="1"/>
    <col min="11" max="11" width="83.28515625" bestFit="1" customWidth="1"/>
    <col min="12" max="12" width="12.140625" customWidth="1"/>
  </cols>
  <sheetData>
    <row r="1" spans="1:12" x14ac:dyDescent="0.25">
      <c r="B1" s="5" t="s">
        <v>93</v>
      </c>
      <c r="I1" s="5" t="s">
        <v>132</v>
      </c>
    </row>
    <row r="2" spans="1:12" x14ac:dyDescent="0.25">
      <c r="B2" s="5" t="s">
        <v>159</v>
      </c>
      <c r="I2" s="5"/>
    </row>
    <row r="3" spans="1:12" x14ac:dyDescent="0.25">
      <c r="B3" s="15" t="s">
        <v>160</v>
      </c>
      <c r="I3" s="5"/>
    </row>
    <row r="4" spans="1:12" x14ac:dyDescent="0.25">
      <c r="B4" s="15"/>
      <c r="I4" s="5"/>
    </row>
    <row r="5" spans="1:12" x14ac:dyDescent="0.25">
      <c r="B5" s="2" t="s">
        <v>32</v>
      </c>
      <c r="C5" s="2" t="s">
        <v>129</v>
      </c>
      <c r="D5" s="2" t="s">
        <v>33</v>
      </c>
      <c r="E5" s="2" t="s">
        <v>34</v>
      </c>
      <c r="I5" s="2" t="s">
        <v>95</v>
      </c>
      <c r="J5" s="2" t="s">
        <v>94</v>
      </c>
      <c r="K5" s="2" t="s">
        <v>136</v>
      </c>
      <c r="L5" s="2" t="s">
        <v>130</v>
      </c>
    </row>
    <row r="6" spans="1:12" x14ac:dyDescent="0.25">
      <c r="A6" s="4">
        <v>1</v>
      </c>
      <c r="B6" t="s">
        <v>35</v>
      </c>
      <c r="C6" t="s">
        <v>0</v>
      </c>
      <c r="D6" t="s">
        <v>109</v>
      </c>
      <c r="E6" t="s">
        <v>38</v>
      </c>
      <c r="I6" s="4">
        <v>1</v>
      </c>
      <c r="J6" t="s">
        <v>96</v>
      </c>
      <c r="K6" t="s">
        <v>137</v>
      </c>
      <c r="L6" t="s">
        <v>135</v>
      </c>
    </row>
    <row r="7" spans="1:12" x14ac:dyDescent="0.25">
      <c r="A7" s="4">
        <f>A6+1</f>
        <v>2</v>
      </c>
      <c r="B7" t="s">
        <v>36</v>
      </c>
      <c r="C7" t="s">
        <v>1</v>
      </c>
      <c r="D7" t="s">
        <v>1</v>
      </c>
      <c r="E7" t="s">
        <v>39</v>
      </c>
      <c r="I7" s="4">
        <f>I6+1</f>
        <v>2</v>
      </c>
      <c r="J7" t="s">
        <v>97</v>
      </c>
      <c r="K7" t="s">
        <v>138</v>
      </c>
      <c r="L7" t="s">
        <v>135</v>
      </c>
    </row>
    <row r="8" spans="1:12" x14ac:dyDescent="0.25">
      <c r="A8" s="4">
        <f t="shared" ref="A8:A55" si="0">A7+1</f>
        <v>3</v>
      </c>
      <c r="B8" t="s">
        <v>37</v>
      </c>
      <c r="C8" t="s">
        <v>2</v>
      </c>
      <c r="D8" t="s">
        <v>110</v>
      </c>
      <c r="E8" t="s">
        <v>40</v>
      </c>
      <c r="I8" s="4">
        <f t="shared" ref="I8:I55" si="1">I7+1</f>
        <v>3</v>
      </c>
      <c r="J8" t="s">
        <v>98</v>
      </c>
      <c r="K8" t="s">
        <v>139</v>
      </c>
      <c r="L8" t="s">
        <v>135</v>
      </c>
    </row>
    <row r="9" spans="1:12" x14ac:dyDescent="0.25">
      <c r="A9" s="4">
        <f t="shared" si="0"/>
        <v>4</v>
      </c>
      <c r="B9" t="s">
        <v>71</v>
      </c>
      <c r="C9" t="s">
        <v>3</v>
      </c>
      <c r="D9" t="s">
        <v>3</v>
      </c>
      <c r="E9" t="s">
        <v>41</v>
      </c>
      <c r="I9" s="4">
        <f t="shared" si="1"/>
        <v>4</v>
      </c>
      <c r="J9" t="s">
        <v>99</v>
      </c>
      <c r="K9" t="s">
        <v>140</v>
      </c>
      <c r="L9" t="s">
        <v>135</v>
      </c>
    </row>
    <row r="10" spans="1:12" x14ac:dyDescent="0.25">
      <c r="A10" s="4">
        <f t="shared" si="0"/>
        <v>5</v>
      </c>
      <c r="B10" t="s">
        <v>72</v>
      </c>
      <c r="C10" t="s">
        <v>4</v>
      </c>
      <c r="D10" t="s">
        <v>111</v>
      </c>
      <c r="E10" t="s">
        <v>42</v>
      </c>
      <c r="I10" s="4">
        <f t="shared" si="1"/>
        <v>5</v>
      </c>
      <c r="J10" t="s">
        <v>100</v>
      </c>
      <c r="K10" t="s">
        <v>141</v>
      </c>
      <c r="L10" t="s">
        <v>135</v>
      </c>
    </row>
    <row r="11" spans="1:12" x14ac:dyDescent="0.25">
      <c r="A11" s="4">
        <f t="shared" si="0"/>
        <v>6</v>
      </c>
      <c r="B11" t="s">
        <v>73</v>
      </c>
      <c r="C11" t="s">
        <v>5</v>
      </c>
      <c r="D11" t="s">
        <v>5</v>
      </c>
      <c r="E11" t="s">
        <v>43</v>
      </c>
      <c r="I11" s="4">
        <f t="shared" si="1"/>
        <v>6</v>
      </c>
      <c r="J11" t="s">
        <v>101</v>
      </c>
      <c r="K11" t="s">
        <v>142</v>
      </c>
      <c r="L11" t="s">
        <v>151</v>
      </c>
    </row>
    <row r="12" spans="1:12" x14ac:dyDescent="0.25">
      <c r="A12" s="4">
        <f t="shared" si="0"/>
        <v>7</v>
      </c>
      <c r="B12" t="s">
        <v>74</v>
      </c>
      <c r="C12" t="s">
        <v>6</v>
      </c>
      <c r="D12" t="s">
        <v>6</v>
      </c>
      <c r="E12" t="s">
        <v>44</v>
      </c>
      <c r="I12" s="4">
        <f t="shared" si="1"/>
        <v>7</v>
      </c>
      <c r="J12" t="s">
        <v>102</v>
      </c>
      <c r="K12" t="s">
        <v>143</v>
      </c>
      <c r="L12" t="s">
        <v>135</v>
      </c>
    </row>
    <row r="13" spans="1:12" x14ac:dyDescent="0.25">
      <c r="A13" s="4">
        <f t="shared" si="0"/>
        <v>8</v>
      </c>
      <c r="B13" t="s">
        <v>75</v>
      </c>
      <c r="C13" t="s">
        <v>10</v>
      </c>
      <c r="D13" t="s">
        <v>113</v>
      </c>
      <c r="E13" t="s">
        <v>48</v>
      </c>
      <c r="I13" s="4">
        <f t="shared" si="1"/>
        <v>8</v>
      </c>
      <c r="J13" t="s">
        <v>103</v>
      </c>
      <c r="K13" t="s">
        <v>144</v>
      </c>
      <c r="L13" t="s">
        <v>151</v>
      </c>
    </row>
    <row r="14" spans="1:12" x14ac:dyDescent="0.25">
      <c r="A14" s="4">
        <f t="shared" si="0"/>
        <v>9</v>
      </c>
      <c r="B14" t="s">
        <v>76</v>
      </c>
      <c r="C14" t="s">
        <v>11</v>
      </c>
      <c r="D14" t="s">
        <v>11</v>
      </c>
      <c r="E14" t="s">
        <v>49</v>
      </c>
      <c r="I14" s="4">
        <f t="shared" si="1"/>
        <v>9</v>
      </c>
      <c r="J14" t="s">
        <v>104</v>
      </c>
      <c r="K14" t="s">
        <v>145</v>
      </c>
      <c r="L14" t="s">
        <v>135</v>
      </c>
    </row>
    <row r="15" spans="1:12" x14ac:dyDescent="0.25">
      <c r="A15" s="4">
        <f t="shared" si="0"/>
        <v>10</v>
      </c>
      <c r="B15" t="s">
        <v>77</v>
      </c>
      <c r="C15" t="s">
        <v>12</v>
      </c>
      <c r="D15" t="s">
        <v>114</v>
      </c>
      <c r="E15" t="s">
        <v>50</v>
      </c>
      <c r="I15" s="4">
        <f t="shared" si="1"/>
        <v>10</v>
      </c>
      <c r="J15" t="s">
        <v>105</v>
      </c>
      <c r="K15" t="s">
        <v>146</v>
      </c>
      <c r="L15" t="s">
        <v>135</v>
      </c>
    </row>
    <row r="16" spans="1:12" x14ac:dyDescent="0.25">
      <c r="A16" s="4">
        <f t="shared" si="0"/>
        <v>11</v>
      </c>
      <c r="B16" t="s">
        <v>78</v>
      </c>
      <c r="C16" t="s">
        <v>13</v>
      </c>
      <c r="D16" t="s">
        <v>115</v>
      </c>
      <c r="E16" t="s">
        <v>51</v>
      </c>
      <c r="I16" s="4">
        <f t="shared" si="1"/>
        <v>11</v>
      </c>
      <c r="J16" t="s">
        <v>106</v>
      </c>
      <c r="K16" t="s">
        <v>147</v>
      </c>
      <c r="L16" t="s">
        <v>135</v>
      </c>
    </row>
    <row r="17" spans="1:12" x14ac:dyDescent="0.25">
      <c r="A17" s="4">
        <f t="shared" si="0"/>
        <v>12</v>
      </c>
      <c r="B17" t="s">
        <v>79</v>
      </c>
      <c r="C17" t="s">
        <v>14</v>
      </c>
      <c r="D17" t="s">
        <v>116</v>
      </c>
      <c r="E17" t="s">
        <v>52</v>
      </c>
      <c r="I17" s="4">
        <f t="shared" si="1"/>
        <v>12</v>
      </c>
      <c r="J17" t="s">
        <v>107</v>
      </c>
      <c r="K17" t="s">
        <v>148</v>
      </c>
      <c r="L17" t="s">
        <v>135</v>
      </c>
    </row>
    <row r="18" spans="1:12" x14ac:dyDescent="0.25">
      <c r="A18" s="4">
        <f t="shared" si="0"/>
        <v>13</v>
      </c>
      <c r="B18" t="s">
        <v>80</v>
      </c>
      <c r="C18" t="s">
        <v>15</v>
      </c>
      <c r="D18" t="s">
        <v>15</v>
      </c>
      <c r="E18" t="s">
        <v>53</v>
      </c>
      <c r="I18" s="4">
        <f t="shared" si="1"/>
        <v>13</v>
      </c>
      <c r="J18" t="s">
        <v>108</v>
      </c>
      <c r="K18" t="s">
        <v>149</v>
      </c>
      <c r="L18" t="s">
        <v>151</v>
      </c>
    </row>
    <row r="19" spans="1:12" x14ac:dyDescent="0.25">
      <c r="A19" s="4">
        <f t="shared" si="0"/>
        <v>14</v>
      </c>
      <c r="B19" t="s">
        <v>81</v>
      </c>
      <c r="C19" t="s">
        <v>16</v>
      </c>
      <c r="D19" t="s">
        <v>16</v>
      </c>
      <c r="E19" t="s">
        <v>54</v>
      </c>
      <c r="I19" s="4">
        <f t="shared" si="1"/>
        <v>14</v>
      </c>
    </row>
    <row r="20" spans="1:12" x14ac:dyDescent="0.25">
      <c r="A20" s="4">
        <f t="shared" si="0"/>
        <v>15</v>
      </c>
      <c r="B20" t="s">
        <v>82</v>
      </c>
      <c r="C20" t="s">
        <v>17</v>
      </c>
      <c r="D20" t="s">
        <v>117</v>
      </c>
      <c r="E20" t="s">
        <v>55</v>
      </c>
      <c r="I20" s="4">
        <f t="shared" si="1"/>
        <v>15</v>
      </c>
    </row>
    <row r="21" spans="1:12" x14ac:dyDescent="0.25">
      <c r="A21" s="4">
        <f t="shared" si="0"/>
        <v>16</v>
      </c>
      <c r="B21" t="s">
        <v>83</v>
      </c>
      <c r="C21" t="s">
        <v>18</v>
      </c>
      <c r="D21" t="s">
        <v>118</v>
      </c>
      <c r="E21" t="s">
        <v>56</v>
      </c>
      <c r="I21" s="4">
        <f t="shared" si="1"/>
        <v>16</v>
      </c>
    </row>
    <row r="22" spans="1:12" x14ac:dyDescent="0.25">
      <c r="A22" s="4">
        <f t="shared" si="0"/>
        <v>17</v>
      </c>
      <c r="B22" t="s">
        <v>84</v>
      </c>
      <c r="C22" t="s">
        <v>19</v>
      </c>
      <c r="D22" t="s">
        <v>119</v>
      </c>
      <c r="E22" t="s">
        <v>57</v>
      </c>
      <c r="I22" s="4">
        <f t="shared" si="1"/>
        <v>17</v>
      </c>
    </row>
    <row r="23" spans="1:12" x14ac:dyDescent="0.25">
      <c r="A23" s="4">
        <f t="shared" si="0"/>
        <v>18</v>
      </c>
      <c r="B23" t="s">
        <v>85</v>
      </c>
      <c r="C23" t="s">
        <v>20</v>
      </c>
      <c r="D23" t="s">
        <v>120</v>
      </c>
      <c r="E23" t="s">
        <v>58</v>
      </c>
      <c r="I23" s="4">
        <f t="shared" si="1"/>
        <v>18</v>
      </c>
    </row>
    <row r="24" spans="1:12" x14ac:dyDescent="0.25">
      <c r="A24" s="4">
        <f t="shared" si="0"/>
        <v>19</v>
      </c>
      <c r="B24" t="s">
        <v>86</v>
      </c>
      <c r="C24" t="s">
        <v>21</v>
      </c>
      <c r="D24" t="s">
        <v>121</v>
      </c>
      <c r="E24" t="s">
        <v>59</v>
      </c>
      <c r="I24" s="4">
        <f t="shared" si="1"/>
        <v>19</v>
      </c>
    </row>
    <row r="25" spans="1:12" x14ac:dyDescent="0.25">
      <c r="A25" s="4">
        <f t="shared" si="0"/>
        <v>20</v>
      </c>
      <c r="B25" t="s">
        <v>87</v>
      </c>
      <c r="C25" t="s">
        <v>22</v>
      </c>
      <c r="D25" t="s">
        <v>122</v>
      </c>
      <c r="E25" t="s">
        <v>60</v>
      </c>
      <c r="I25" s="4">
        <f t="shared" si="1"/>
        <v>20</v>
      </c>
    </row>
    <row r="26" spans="1:12" x14ac:dyDescent="0.25">
      <c r="A26" s="4">
        <f t="shared" si="0"/>
        <v>21</v>
      </c>
      <c r="B26" t="s">
        <v>88</v>
      </c>
      <c r="C26" t="s">
        <v>23</v>
      </c>
      <c r="D26" t="s">
        <v>23</v>
      </c>
      <c r="E26" t="s">
        <v>61</v>
      </c>
      <c r="I26" s="4">
        <f t="shared" si="1"/>
        <v>21</v>
      </c>
    </row>
    <row r="27" spans="1:12" x14ac:dyDescent="0.25">
      <c r="A27" s="4">
        <f t="shared" si="0"/>
        <v>22</v>
      </c>
      <c r="B27" t="s">
        <v>89</v>
      </c>
      <c r="C27" t="s">
        <v>24</v>
      </c>
      <c r="D27" t="s">
        <v>24</v>
      </c>
      <c r="E27" t="s">
        <v>62</v>
      </c>
      <c r="I27" s="4">
        <f t="shared" si="1"/>
        <v>22</v>
      </c>
    </row>
    <row r="28" spans="1:12" x14ac:dyDescent="0.25">
      <c r="A28" s="4">
        <f t="shared" si="0"/>
        <v>23</v>
      </c>
      <c r="B28" t="s">
        <v>90</v>
      </c>
      <c r="C28" t="s">
        <v>25</v>
      </c>
      <c r="D28" t="s">
        <v>123</v>
      </c>
      <c r="E28" t="s">
        <v>63</v>
      </c>
      <c r="I28" s="4">
        <f t="shared" si="1"/>
        <v>23</v>
      </c>
    </row>
    <row r="29" spans="1:12" x14ac:dyDescent="0.25">
      <c r="A29" s="4">
        <f t="shared" si="0"/>
        <v>24</v>
      </c>
      <c r="B29" t="s">
        <v>91</v>
      </c>
      <c r="C29" t="s">
        <v>26</v>
      </c>
      <c r="D29" t="s">
        <v>124</v>
      </c>
      <c r="E29" t="s">
        <v>64</v>
      </c>
      <c r="I29" s="4">
        <f t="shared" si="1"/>
        <v>24</v>
      </c>
    </row>
    <row r="30" spans="1:12" x14ac:dyDescent="0.25">
      <c r="A30" s="4">
        <f t="shared" si="0"/>
        <v>25</v>
      </c>
      <c r="B30" t="s">
        <v>127</v>
      </c>
      <c r="C30" t="s">
        <v>29</v>
      </c>
      <c r="D30" t="s">
        <v>29</v>
      </c>
      <c r="E30" t="s">
        <v>67</v>
      </c>
      <c r="I30" s="4">
        <f t="shared" si="1"/>
        <v>25</v>
      </c>
    </row>
    <row r="31" spans="1:12" x14ac:dyDescent="0.25">
      <c r="A31" s="4">
        <f t="shared" si="0"/>
        <v>26</v>
      </c>
      <c r="B31" t="s">
        <v>92</v>
      </c>
      <c r="C31" t="s">
        <v>30</v>
      </c>
      <c r="D31" t="s">
        <v>126</v>
      </c>
      <c r="E31" t="s">
        <v>68</v>
      </c>
      <c r="I31" s="4">
        <f t="shared" si="1"/>
        <v>26</v>
      </c>
    </row>
    <row r="32" spans="1:12" x14ac:dyDescent="0.25">
      <c r="A32" s="4">
        <f t="shared" si="0"/>
        <v>27</v>
      </c>
      <c r="B32" t="s">
        <v>128</v>
      </c>
      <c r="C32" t="s">
        <v>31</v>
      </c>
      <c r="D32" t="s">
        <v>31</v>
      </c>
      <c r="E32" t="s">
        <v>69</v>
      </c>
      <c r="I32" s="4">
        <f t="shared" si="1"/>
        <v>27</v>
      </c>
    </row>
    <row r="33" spans="1:9" x14ac:dyDescent="0.25">
      <c r="A33" s="4">
        <f t="shared" si="0"/>
        <v>28</v>
      </c>
      <c r="B33" t="s">
        <v>153</v>
      </c>
      <c r="C33" t="s">
        <v>7</v>
      </c>
      <c r="D33" s="3" t="s">
        <v>112</v>
      </c>
      <c r="E33" t="s">
        <v>70</v>
      </c>
      <c r="I33" s="4">
        <f t="shared" si="1"/>
        <v>28</v>
      </c>
    </row>
    <row r="34" spans="1:9" x14ac:dyDescent="0.25">
      <c r="A34" s="4">
        <f t="shared" si="0"/>
        <v>29</v>
      </c>
      <c r="B34" t="s">
        <v>154</v>
      </c>
      <c r="C34" t="s">
        <v>152</v>
      </c>
      <c r="D34" s="3" t="s">
        <v>112</v>
      </c>
      <c r="E34" t="s">
        <v>45</v>
      </c>
      <c r="I34" s="4">
        <f t="shared" si="1"/>
        <v>29</v>
      </c>
    </row>
    <row r="35" spans="1:9" x14ac:dyDescent="0.25">
      <c r="A35" s="4">
        <f t="shared" si="0"/>
        <v>30</v>
      </c>
      <c r="B35" t="s">
        <v>155</v>
      </c>
      <c r="C35" t="s">
        <v>8</v>
      </c>
      <c r="D35" s="3" t="s">
        <v>8</v>
      </c>
      <c r="E35" t="s">
        <v>46</v>
      </c>
      <c r="I35" s="4">
        <f t="shared" si="1"/>
        <v>30</v>
      </c>
    </row>
    <row r="36" spans="1:9" x14ac:dyDescent="0.25">
      <c r="A36" s="4">
        <f t="shared" si="0"/>
        <v>31</v>
      </c>
      <c r="B36" t="s">
        <v>156</v>
      </c>
      <c r="C36" t="s">
        <v>9</v>
      </c>
      <c r="D36" s="3" t="s">
        <v>8</v>
      </c>
      <c r="E36" t="s">
        <v>47</v>
      </c>
      <c r="I36" s="4">
        <f t="shared" si="1"/>
        <v>31</v>
      </c>
    </row>
    <row r="37" spans="1:9" x14ac:dyDescent="0.25">
      <c r="A37" s="4">
        <f t="shared" si="0"/>
        <v>32</v>
      </c>
      <c r="B37" t="s">
        <v>157</v>
      </c>
      <c r="C37" t="s">
        <v>27</v>
      </c>
      <c r="D37" s="3" t="s">
        <v>125</v>
      </c>
      <c r="E37" t="s">
        <v>65</v>
      </c>
      <c r="I37" s="4">
        <f t="shared" si="1"/>
        <v>32</v>
      </c>
    </row>
    <row r="38" spans="1:9" x14ac:dyDescent="0.25">
      <c r="A38" s="4">
        <f t="shared" si="0"/>
        <v>33</v>
      </c>
      <c r="B38" t="s">
        <v>158</v>
      </c>
      <c r="C38" t="s">
        <v>28</v>
      </c>
      <c r="D38" s="3" t="s">
        <v>125</v>
      </c>
      <c r="E38" t="s">
        <v>66</v>
      </c>
      <c r="I38" s="4">
        <f t="shared" si="1"/>
        <v>33</v>
      </c>
    </row>
    <row r="39" spans="1:9" x14ac:dyDescent="0.25">
      <c r="A39" s="4">
        <f t="shared" si="0"/>
        <v>34</v>
      </c>
      <c r="I39" s="4">
        <f t="shared" si="1"/>
        <v>34</v>
      </c>
    </row>
    <row r="40" spans="1:9" x14ac:dyDescent="0.25">
      <c r="A40" s="4">
        <f t="shared" si="0"/>
        <v>35</v>
      </c>
      <c r="I40" s="4">
        <f t="shared" si="1"/>
        <v>35</v>
      </c>
    </row>
    <row r="41" spans="1:9" x14ac:dyDescent="0.25">
      <c r="A41" s="4">
        <f t="shared" si="0"/>
        <v>36</v>
      </c>
      <c r="I41" s="4">
        <f t="shared" si="1"/>
        <v>36</v>
      </c>
    </row>
    <row r="42" spans="1:9" x14ac:dyDescent="0.25">
      <c r="A42" s="4">
        <f t="shared" si="0"/>
        <v>37</v>
      </c>
      <c r="I42" s="4">
        <f t="shared" si="1"/>
        <v>37</v>
      </c>
    </row>
    <row r="43" spans="1:9" x14ac:dyDescent="0.25">
      <c r="A43" s="4">
        <f t="shared" si="0"/>
        <v>38</v>
      </c>
      <c r="I43" s="4">
        <f t="shared" si="1"/>
        <v>38</v>
      </c>
    </row>
    <row r="44" spans="1:9" x14ac:dyDescent="0.25">
      <c r="A44" s="4">
        <f t="shared" si="0"/>
        <v>39</v>
      </c>
      <c r="I44" s="4">
        <f t="shared" si="1"/>
        <v>39</v>
      </c>
    </row>
    <row r="45" spans="1:9" x14ac:dyDescent="0.25">
      <c r="A45" s="4">
        <f t="shared" si="0"/>
        <v>40</v>
      </c>
      <c r="I45" s="4">
        <f t="shared" si="1"/>
        <v>40</v>
      </c>
    </row>
    <row r="46" spans="1:9" x14ac:dyDescent="0.25">
      <c r="A46" s="4">
        <f t="shared" si="0"/>
        <v>41</v>
      </c>
      <c r="I46" s="4">
        <f t="shared" si="1"/>
        <v>41</v>
      </c>
    </row>
    <row r="47" spans="1:9" x14ac:dyDescent="0.25">
      <c r="A47" s="4">
        <f t="shared" si="0"/>
        <v>42</v>
      </c>
      <c r="I47" s="4">
        <f t="shared" si="1"/>
        <v>42</v>
      </c>
    </row>
    <row r="48" spans="1:9" x14ac:dyDescent="0.25">
      <c r="A48" s="4">
        <f t="shared" si="0"/>
        <v>43</v>
      </c>
      <c r="I48" s="4">
        <f t="shared" si="1"/>
        <v>43</v>
      </c>
    </row>
    <row r="49" spans="1:9" x14ac:dyDescent="0.25">
      <c r="A49" s="4">
        <f t="shared" si="0"/>
        <v>44</v>
      </c>
      <c r="I49" s="4">
        <f t="shared" si="1"/>
        <v>44</v>
      </c>
    </row>
    <row r="50" spans="1:9" x14ac:dyDescent="0.25">
      <c r="A50" s="4">
        <f t="shared" si="0"/>
        <v>45</v>
      </c>
      <c r="I50" s="4">
        <f t="shared" si="1"/>
        <v>45</v>
      </c>
    </row>
    <row r="51" spans="1:9" x14ac:dyDescent="0.25">
      <c r="A51" s="4">
        <f t="shared" si="0"/>
        <v>46</v>
      </c>
      <c r="I51" s="4">
        <f t="shared" si="1"/>
        <v>46</v>
      </c>
    </row>
    <row r="52" spans="1:9" x14ac:dyDescent="0.25">
      <c r="A52" s="4">
        <f t="shared" si="0"/>
        <v>47</v>
      </c>
      <c r="I52" s="4">
        <f t="shared" si="1"/>
        <v>47</v>
      </c>
    </row>
    <row r="53" spans="1:9" x14ac:dyDescent="0.25">
      <c r="A53" s="4">
        <f t="shared" si="0"/>
        <v>48</v>
      </c>
      <c r="I53" s="4">
        <f t="shared" si="1"/>
        <v>48</v>
      </c>
    </row>
    <row r="54" spans="1:9" x14ac:dyDescent="0.25">
      <c r="A54" s="4">
        <f t="shared" si="0"/>
        <v>49</v>
      </c>
      <c r="I54" s="4">
        <f t="shared" si="1"/>
        <v>49</v>
      </c>
    </row>
    <row r="55" spans="1:9" x14ac:dyDescent="0.25">
      <c r="A55" s="4">
        <f t="shared" si="0"/>
        <v>50</v>
      </c>
      <c r="I55" s="4">
        <f t="shared" si="1"/>
        <v>50</v>
      </c>
    </row>
  </sheetData>
  <autoFilter ref="B5:J5" xr:uid="{13D9AB88-084C-499D-8B4A-65BF804C2E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F8D-010F-4FF3-804C-918326C67BA0}">
  <sheetPr>
    <tabColor theme="0" tint="-0.14999847407452621"/>
  </sheetPr>
  <dimension ref="A1:BA54"/>
  <sheetViews>
    <sheetView workbookViewId="0">
      <pane xSplit="3" ySplit="3" topLeftCell="AQ23" activePane="bottomRight" state="frozen"/>
      <selection pane="topRight" activeCell="D1" sqref="D1"/>
      <selection pane="bottomLeft" activeCell="A4" sqref="A4"/>
      <selection pane="bottomRight" activeCell="D4" sqref="D4:BA54"/>
    </sheetView>
  </sheetViews>
  <sheetFormatPr defaultRowHeight="15" x14ac:dyDescent="0.25"/>
  <cols>
    <col min="2" max="2" width="24" bestFit="1" customWidth="1"/>
    <col min="3" max="3" width="13.5703125" bestFit="1" customWidth="1"/>
    <col min="4" max="4" width="23" bestFit="1" customWidth="1"/>
    <col min="5" max="53" width="14.85546875" customWidth="1"/>
  </cols>
  <sheetData>
    <row r="1" spans="1:53" x14ac:dyDescent="0.25">
      <c r="A1" s="16"/>
      <c r="B1" s="16"/>
      <c r="C1" s="16"/>
      <c r="D1" s="16">
        <v>1</v>
      </c>
      <c r="E1" s="16">
        <v>2</v>
      </c>
      <c r="F1" s="16">
        <v>3</v>
      </c>
      <c r="G1" s="16">
        <v>4</v>
      </c>
      <c r="H1" s="16">
        <v>5</v>
      </c>
      <c r="I1" s="16">
        <v>6</v>
      </c>
      <c r="J1" s="16">
        <v>7</v>
      </c>
      <c r="K1" s="16">
        <v>8</v>
      </c>
      <c r="L1" s="16">
        <v>9</v>
      </c>
      <c r="M1" s="16">
        <v>10</v>
      </c>
      <c r="N1" s="16">
        <v>11</v>
      </c>
      <c r="O1" s="16">
        <v>12</v>
      </c>
      <c r="P1" s="16">
        <v>13</v>
      </c>
      <c r="Q1" s="16">
        <v>14</v>
      </c>
      <c r="R1" s="16">
        <v>15</v>
      </c>
      <c r="S1" s="16">
        <v>16</v>
      </c>
      <c r="T1" s="16">
        <v>17</v>
      </c>
      <c r="U1" s="16">
        <v>18</v>
      </c>
      <c r="V1" s="16">
        <v>19</v>
      </c>
      <c r="W1" s="16">
        <v>20</v>
      </c>
      <c r="X1" s="16">
        <v>21</v>
      </c>
      <c r="Y1" s="16">
        <v>22</v>
      </c>
      <c r="Z1" s="16">
        <v>23</v>
      </c>
      <c r="AA1" s="16">
        <v>24</v>
      </c>
      <c r="AB1" s="16">
        <v>25</v>
      </c>
      <c r="AC1" s="16">
        <v>26</v>
      </c>
      <c r="AD1" s="16">
        <v>27</v>
      </c>
      <c r="AE1" s="16">
        <v>28</v>
      </c>
      <c r="AF1" s="16">
        <v>29</v>
      </c>
      <c r="AG1" s="16">
        <v>30</v>
      </c>
      <c r="AH1" s="16">
        <v>31</v>
      </c>
      <c r="AI1" s="16">
        <v>32</v>
      </c>
      <c r="AJ1" s="16">
        <v>33</v>
      </c>
      <c r="AK1" s="16">
        <v>34</v>
      </c>
      <c r="AL1" s="16">
        <v>35</v>
      </c>
      <c r="AM1" s="16">
        <v>36</v>
      </c>
      <c r="AN1" s="16">
        <v>37</v>
      </c>
      <c r="AO1" s="16">
        <v>38</v>
      </c>
      <c r="AP1" s="16">
        <v>39</v>
      </c>
      <c r="AQ1" s="16">
        <v>40</v>
      </c>
      <c r="AR1" s="16">
        <v>41</v>
      </c>
      <c r="AS1" s="16">
        <v>42</v>
      </c>
      <c r="AT1" s="16">
        <v>43</v>
      </c>
      <c r="AU1" s="16">
        <v>44</v>
      </c>
      <c r="AV1" s="16">
        <v>45</v>
      </c>
      <c r="AW1" s="16">
        <v>46</v>
      </c>
      <c r="AX1" s="16">
        <v>47</v>
      </c>
      <c r="AY1" s="16">
        <v>48</v>
      </c>
      <c r="AZ1" s="16">
        <v>49</v>
      </c>
      <c r="BA1" s="16">
        <v>50</v>
      </c>
    </row>
    <row r="2" spans="1:53" x14ac:dyDescent="0.25">
      <c r="A2" s="16"/>
      <c r="B2" s="16"/>
      <c r="C2" s="17" t="s">
        <v>161</v>
      </c>
      <c r="D2" s="16" t="str">
        <f>IF(VLOOKUP(D$1,'geocodes &amp; mnemonic list'!$I:$J,2,FALSE)=0,"", VLOOKUP(D$1,'geocodes &amp; mnemonic list'!$I:$J,2,FALSE))</f>
        <v>FHHOLDQ</v>
      </c>
      <c r="E2" s="16" t="str">
        <f>IF(VLOOKUP(E$1,'geocodes &amp; mnemonic list'!$I:$J,2,FALSE)=0,"", VLOOKUP(E$1,'geocodes &amp; mnemonic list'!$I:$J,2,FALSE))</f>
        <v>FPOP2024Q</v>
      </c>
      <c r="F2" s="16" t="str">
        <f>IF(VLOOKUP(F$1,'geocodes &amp; mnemonic list'!$I:$J,2,FALSE)=0,"", VLOOKUP(F$1,'geocodes &amp; mnemonic list'!$I:$J,2,FALSE))</f>
        <v>FPOP2529Q</v>
      </c>
      <c r="G2" s="16" t="str">
        <f>IF(VLOOKUP(G$1,'geocodes &amp; mnemonic list'!$I:$J,2,FALSE)=0,"", VLOOKUP(G$1,'geocodes &amp; mnemonic list'!$I:$J,2,FALSE))</f>
        <v>FPOP3034Q</v>
      </c>
      <c r="H2" s="16" t="str">
        <f>IF(VLOOKUP(H$1,'geocodes &amp; mnemonic list'!$I:$J,2,FALSE)=0,"", VLOOKUP(H$1,'geocodes &amp; mnemonic list'!$I:$J,2,FALSE))</f>
        <v>FPOPQ</v>
      </c>
      <c r="I2" s="16" t="str">
        <f>IF(VLOOKUP(I$1,'geocodes &amp; mnemonic list'!$I:$J,2,FALSE)=0,"", VLOOKUP(I$1,'geocodes &amp; mnemonic list'!$I:$J,2,FALSE))</f>
        <v>FYHHMEDQ</v>
      </c>
      <c r="J2" s="16" t="str">
        <f>IF(VLOOKUP(J$1,'geocodes &amp; mnemonic list'!$I:$J,2,FALSE)=0,"", VLOOKUP(J$1,'geocodes &amp; mnemonic list'!$I:$J,2,FALSE))</f>
        <v>FET</v>
      </c>
      <c r="K2" s="16" t="str">
        <f>IF(VLOOKUP(K$1,'geocodes &amp; mnemonic list'!$I:$J,2,FALSE)=0,"", VLOOKUP(K$1,'geocodes &amp; mnemonic list'!$I:$J,2,FALSE))</f>
        <v>FCPIU</v>
      </c>
      <c r="L2" s="16" t="str">
        <f>IF(VLOOKUP(L$1,'geocodes &amp; mnemonic list'!$I:$J,2,FALSE)=0,"", VLOOKUP(L$1,'geocodes &amp; mnemonic list'!$I:$J,2,FALSE))</f>
        <v>FGDP$Q</v>
      </c>
      <c r="M2" s="16" t="str">
        <f>IF(VLOOKUP(M$1,'geocodes &amp; mnemonic list'!$I:$J,2,FALSE)=0,"", VLOOKUP(M$1,'geocodes &amp; mnemonic list'!$I:$J,2,FALSE))</f>
        <v>FHPNR</v>
      </c>
      <c r="N2" s="16" t="str">
        <f>IF(VLOOKUP(N$1,'geocodes &amp; mnemonic list'!$I:$J,2,FALSE)=0,"", VLOOKUP(N$1,'geocodes &amp; mnemonic list'!$I:$J,2,FALSE))</f>
        <v>FHPNM</v>
      </c>
      <c r="O2" s="16" t="str">
        <f>IF(VLOOKUP(O$1,'geocodes &amp; mnemonic list'!$I:$J,2,FALSE)=0,"", VLOOKUP(O$1,'geocodes &amp; mnemonic list'!$I:$J,2,FALSE))</f>
        <v>FHX1</v>
      </c>
      <c r="P2" s="16" t="str">
        <f>IF(VLOOKUP(P$1,'geocodes &amp; mnemonic list'!$I:$J,2,FALSE)=0,"", VLOOKUP(P$1,'geocodes &amp; mnemonic list'!$I:$J,2,FALSE))</f>
        <v>FHX1MED</v>
      </c>
      <c r="Q2" s="16" t="str">
        <f>IF(VLOOKUP(Q$1,'geocodes &amp; mnemonic list'!$I:$J,2,FALSE)=0,"", VLOOKUP(Q$1,'geocodes &amp; mnemonic list'!$I:$J,2,FALSE))</f>
        <v/>
      </c>
      <c r="R2" s="16" t="str">
        <f>IF(VLOOKUP(R$1,'geocodes &amp; mnemonic list'!$I:$J,2,FALSE)=0,"", VLOOKUP(R$1,'geocodes &amp; mnemonic list'!$I:$J,2,FALSE))</f>
        <v/>
      </c>
      <c r="S2" s="16" t="str">
        <f>IF(VLOOKUP(S$1,'geocodes &amp; mnemonic list'!$I:$J,2,FALSE)=0,"", VLOOKUP(S$1,'geocodes &amp; mnemonic list'!$I:$J,2,FALSE))</f>
        <v/>
      </c>
      <c r="T2" s="16" t="str">
        <f>IF(VLOOKUP(T$1,'geocodes &amp; mnemonic list'!$I:$J,2,FALSE)=0,"", VLOOKUP(T$1,'geocodes &amp; mnemonic list'!$I:$J,2,FALSE))</f>
        <v/>
      </c>
      <c r="U2" s="16" t="str">
        <f>IF(VLOOKUP(U$1,'geocodes &amp; mnemonic list'!$I:$J,2,FALSE)=0,"", VLOOKUP(U$1,'geocodes &amp; mnemonic list'!$I:$J,2,FALSE))</f>
        <v/>
      </c>
      <c r="V2" s="16" t="str">
        <f>IF(VLOOKUP(V$1,'geocodes &amp; mnemonic list'!$I:$J,2,FALSE)=0,"", VLOOKUP(V$1,'geocodes &amp; mnemonic list'!$I:$J,2,FALSE))</f>
        <v/>
      </c>
      <c r="W2" s="16" t="str">
        <f>IF(VLOOKUP(W$1,'geocodes &amp; mnemonic list'!$I:$J,2,FALSE)=0,"", VLOOKUP(W$1,'geocodes &amp; mnemonic list'!$I:$J,2,FALSE))</f>
        <v/>
      </c>
      <c r="X2" s="16" t="str">
        <f>IF(VLOOKUP(X$1,'geocodes &amp; mnemonic list'!$I:$J,2,FALSE)=0,"", VLOOKUP(X$1,'geocodes &amp; mnemonic list'!$I:$J,2,FALSE))</f>
        <v/>
      </c>
      <c r="Y2" s="16" t="str">
        <f>IF(VLOOKUP(Y$1,'geocodes &amp; mnemonic list'!$I:$J,2,FALSE)=0,"", VLOOKUP(Y$1,'geocodes &amp; mnemonic list'!$I:$J,2,FALSE))</f>
        <v/>
      </c>
      <c r="Z2" s="16" t="str">
        <f>IF(VLOOKUP(Z$1,'geocodes &amp; mnemonic list'!$I:$J,2,FALSE)=0,"", VLOOKUP(Z$1,'geocodes &amp; mnemonic list'!$I:$J,2,FALSE))</f>
        <v/>
      </c>
      <c r="AA2" s="16" t="str">
        <f>IF(VLOOKUP(AA$1,'geocodes &amp; mnemonic list'!$I:$J,2,FALSE)=0,"", VLOOKUP(AA$1,'geocodes &amp; mnemonic list'!$I:$J,2,FALSE))</f>
        <v/>
      </c>
      <c r="AB2" s="16" t="str">
        <f>IF(VLOOKUP(AB$1,'geocodes &amp; mnemonic list'!$I:$J,2,FALSE)=0,"", VLOOKUP(AB$1,'geocodes &amp; mnemonic list'!$I:$J,2,FALSE))</f>
        <v/>
      </c>
      <c r="AC2" s="16" t="str">
        <f>IF(VLOOKUP(AC$1,'geocodes &amp; mnemonic list'!$I:$J,2,FALSE)=0,"", VLOOKUP(AC$1,'geocodes &amp; mnemonic list'!$I:$J,2,FALSE))</f>
        <v/>
      </c>
      <c r="AD2" s="16" t="str">
        <f>IF(VLOOKUP(AD$1,'geocodes &amp; mnemonic list'!$I:$J,2,FALSE)=0,"", VLOOKUP(AD$1,'geocodes &amp; mnemonic list'!$I:$J,2,FALSE))</f>
        <v/>
      </c>
      <c r="AE2" s="16" t="str">
        <f>IF(VLOOKUP(AE$1,'geocodes &amp; mnemonic list'!$I:$J,2,FALSE)=0,"", VLOOKUP(AE$1,'geocodes &amp; mnemonic list'!$I:$J,2,FALSE))</f>
        <v/>
      </c>
      <c r="AF2" s="16" t="str">
        <f>IF(VLOOKUP(AF$1,'geocodes &amp; mnemonic list'!$I:$J,2,FALSE)=0,"", VLOOKUP(AF$1,'geocodes &amp; mnemonic list'!$I:$J,2,FALSE))</f>
        <v/>
      </c>
      <c r="AG2" s="16" t="str">
        <f>IF(VLOOKUP(AG$1,'geocodes &amp; mnemonic list'!$I:$J,2,FALSE)=0,"", VLOOKUP(AG$1,'geocodes &amp; mnemonic list'!$I:$J,2,FALSE))</f>
        <v/>
      </c>
      <c r="AH2" s="16" t="str">
        <f>IF(VLOOKUP(AH$1,'geocodes &amp; mnemonic list'!$I:$J,2,FALSE)=0,"", VLOOKUP(AH$1,'geocodes &amp; mnemonic list'!$I:$J,2,FALSE))</f>
        <v/>
      </c>
      <c r="AI2" s="16" t="str">
        <f>IF(VLOOKUP(AI$1,'geocodes &amp; mnemonic list'!$I:$J,2,FALSE)=0,"", VLOOKUP(AI$1,'geocodes &amp; mnemonic list'!$I:$J,2,FALSE))</f>
        <v/>
      </c>
      <c r="AJ2" s="16" t="str">
        <f>IF(VLOOKUP(AJ$1,'geocodes &amp; mnemonic list'!$I:$J,2,FALSE)=0,"", VLOOKUP(AJ$1,'geocodes &amp; mnemonic list'!$I:$J,2,FALSE))</f>
        <v/>
      </c>
      <c r="AK2" s="16" t="str">
        <f>IF(VLOOKUP(AK$1,'geocodes &amp; mnemonic list'!$I:$J,2,FALSE)=0,"", VLOOKUP(AK$1,'geocodes &amp; mnemonic list'!$I:$J,2,FALSE))</f>
        <v/>
      </c>
      <c r="AL2" s="16" t="str">
        <f>IF(VLOOKUP(AL$1,'geocodes &amp; mnemonic list'!$I:$J,2,FALSE)=0,"", VLOOKUP(AL$1,'geocodes &amp; mnemonic list'!$I:$J,2,FALSE))</f>
        <v/>
      </c>
      <c r="AM2" s="16" t="str">
        <f>IF(VLOOKUP(AM$1,'geocodes &amp; mnemonic list'!$I:$J,2,FALSE)=0,"", VLOOKUP(AM$1,'geocodes &amp; mnemonic list'!$I:$J,2,FALSE))</f>
        <v/>
      </c>
      <c r="AN2" s="16" t="str">
        <f>IF(VLOOKUP(AN$1,'geocodes &amp; mnemonic list'!$I:$J,2,FALSE)=0,"", VLOOKUP(AN$1,'geocodes &amp; mnemonic list'!$I:$J,2,FALSE))</f>
        <v/>
      </c>
      <c r="AO2" s="16" t="str">
        <f>IF(VLOOKUP(AO$1,'geocodes &amp; mnemonic list'!$I:$J,2,FALSE)=0,"", VLOOKUP(AO$1,'geocodes &amp; mnemonic list'!$I:$J,2,FALSE))</f>
        <v/>
      </c>
      <c r="AP2" s="16" t="str">
        <f>IF(VLOOKUP(AP$1,'geocodes &amp; mnemonic list'!$I:$J,2,FALSE)=0,"", VLOOKUP(AP$1,'geocodes &amp; mnemonic list'!$I:$J,2,FALSE))</f>
        <v/>
      </c>
      <c r="AQ2" s="16" t="str">
        <f>IF(VLOOKUP(AQ$1,'geocodes &amp; mnemonic list'!$I:$J,2,FALSE)=0,"", VLOOKUP(AQ$1,'geocodes &amp; mnemonic list'!$I:$J,2,FALSE))</f>
        <v/>
      </c>
      <c r="AR2" s="16" t="str">
        <f>IF(VLOOKUP(AR$1,'geocodes &amp; mnemonic list'!$I:$J,2,FALSE)=0,"", VLOOKUP(AR$1,'geocodes &amp; mnemonic list'!$I:$J,2,FALSE))</f>
        <v/>
      </c>
      <c r="AS2" s="16" t="str">
        <f>IF(VLOOKUP(AS$1,'geocodes &amp; mnemonic list'!$I:$J,2,FALSE)=0,"", VLOOKUP(AS$1,'geocodes &amp; mnemonic list'!$I:$J,2,FALSE))</f>
        <v/>
      </c>
      <c r="AT2" s="16" t="str">
        <f>IF(VLOOKUP(AT$1,'geocodes &amp; mnemonic list'!$I:$J,2,FALSE)=0,"", VLOOKUP(AT$1,'geocodes &amp; mnemonic list'!$I:$J,2,FALSE))</f>
        <v/>
      </c>
      <c r="AU2" s="16" t="str">
        <f>IF(VLOOKUP(AU$1,'geocodes &amp; mnemonic list'!$I:$J,2,FALSE)=0,"", VLOOKUP(AU$1,'geocodes &amp; mnemonic list'!$I:$J,2,FALSE))</f>
        <v/>
      </c>
      <c r="AV2" s="16" t="str">
        <f>IF(VLOOKUP(AV$1,'geocodes &amp; mnemonic list'!$I:$J,2,FALSE)=0,"", VLOOKUP(AV$1,'geocodes &amp; mnemonic list'!$I:$J,2,FALSE))</f>
        <v/>
      </c>
      <c r="AW2" s="16" t="str">
        <f>IF(VLOOKUP(AW$1,'geocodes &amp; mnemonic list'!$I:$J,2,FALSE)=0,"", VLOOKUP(AW$1,'geocodes &amp; mnemonic list'!$I:$J,2,FALSE))</f>
        <v/>
      </c>
      <c r="AX2" s="16" t="str">
        <f>IF(VLOOKUP(AX$1,'geocodes &amp; mnemonic list'!$I:$J,2,FALSE)=0,"", VLOOKUP(AX$1,'geocodes &amp; mnemonic list'!$I:$J,2,FALSE))</f>
        <v/>
      </c>
      <c r="AY2" s="16" t="str">
        <f>IF(VLOOKUP(AY$1,'geocodes &amp; mnemonic list'!$I:$J,2,FALSE)=0,"", VLOOKUP(AY$1,'geocodes &amp; mnemonic list'!$I:$J,2,FALSE))</f>
        <v/>
      </c>
      <c r="AZ2" s="16" t="str">
        <f>IF(VLOOKUP(AZ$1,'geocodes &amp; mnemonic list'!$I:$J,2,FALSE)=0,"", VLOOKUP(AZ$1,'geocodes &amp; mnemonic list'!$I:$J,2,FALSE))</f>
        <v/>
      </c>
      <c r="BA2" s="16" t="str">
        <f>IF(VLOOKUP(BA$1,'geocodes &amp; mnemonic list'!$I:$J,2,FALSE)=0,"", VLOOKUP(BA$1,'geocodes &amp; mnemonic list'!$I:$J,2,FALSE))</f>
        <v/>
      </c>
    </row>
    <row r="3" spans="1:53" ht="15.75" thickBot="1" x14ac:dyDescent="0.3">
      <c r="A3" s="16"/>
      <c r="B3" s="16"/>
      <c r="C3" s="16"/>
      <c r="D3" s="16" t="str">
        <f>VLOOKUP(D$2,'geocodes &amp; mnemonic list'!$J:$K,2,FALSE)</f>
        <v>Baseline Scenario (August 2025): Households: Total, (Ths. #, NSA)</v>
      </c>
      <c r="E3" s="16" t="str">
        <f>VLOOKUP(E$2,'geocodes &amp; mnemonic list'!$J:$K,2,FALSE)</f>
        <v>Baseline Scenario (August 2025): Population: Ages 20-24, (Ths. #, NSA)</v>
      </c>
      <c r="F3" s="16" t="str">
        <f>VLOOKUP(F$2,'geocodes &amp; mnemonic list'!$J:$K,2,FALSE)</f>
        <v>Baseline Scenario (August 2025): Population: Ages 25-29, (Ths. #, NSA)</v>
      </c>
      <c r="G3" s="16" t="str">
        <f>VLOOKUP(G$2,'geocodes &amp; mnemonic list'!$J:$K,2,FALSE)</f>
        <v>Baseline Scenario (August 2025): Population: Ages 30-34, (Ths. #, NSA)</v>
      </c>
      <c r="H3" s="16" t="str">
        <f>VLOOKUP(H$2,'geocodes &amp; mnemonic list'!$J:$K,2,FALSE)</f>
        <v>Baseline Scenario (August 2025): Population: Total, (Ths. #, NSA)</v>
      </c>
      <c r="I3" s="16" t="str">
        <f>VLOOKUP(I$2,'geocodes &amp; mnemonic list'!$J:$K,2,FALSE)</f>
        <v>Baseline Scenario (August 2025): Income: Median Household, (USD, SAAR)</v>
      </c>
      <c r="J3" s="16" t="str">
        <f>VLOOKUP(J$2,'geocodes &amp; mnemonic list'!$J:$K,2,FALSE)</f>
        <v>Baseline Scenario (August 2025): Employment: Total Non-Agricultural, (Ths. #, SA)</v>
      </c>
      <c r="K3" s="16" t="str">
        <f>VLOOKUP(K$2,'geocodes &amp; mnemonic list'!$J:$K,2,FALSE)</f>
        <v>Baseline Scenario (August 2025): CPI: Total - All Urban Consumers, (Index 1982-84=100, SA)</v>
      </c>
      <c r="L3" s="16" t="str">
        <f>VLOOKUP(L$2,'geocodes &amp; mnemonic list'!$J:$K,2,FALSE)</f>
        <v>Baseline Scenario (August 2025): Gross Metro Product: Total, (Bil. Ch. 2017 USD, SAAR)</v>
      </c>
      <c r="M3" s="16" t="str">
        <f>VLOOKUP(M$2,'geocodes &amp; mnemonic list'!$J:$K,2,FALSE)</f>
        <v>Baseline Scenario (August 2025): Permits: Residential - Total, (#, SAAR)</v>
      </c>
      <c r="N3" s="16" t="str">
        <f>VLOOKUP(N$2,'geocodes &amp; mnemonic list'!$J:$K,2,FALSE)</f>
        <v>Baseline Scenario (August 2025): Permits: Residential - Multifamily, (#, SAAR)</v>
      </c>
      <c r="O3" s="16" t="str">
        <f>VLOOKUP(O$2,'geocodes &amp; mnemonic list'!$J:$K,2,FALSE)</f>
        <v>Baseline Scenario (August 2025): Home Sales: Existing Single-Family, (Ths. #, SAAR)</v>
      </c>
      <c r="P3" s="16" t="str">
        <f>VLOOKUP(P$2,'geocodes &amp; mnemonic list'!$J:$K,2,FALSE)</f>
        <v>Baseline Scenario (August 2025): Existing Single-Family Home Price: Median, (Ths. USD, SA)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 x14ac:dyDescent="0.25">
      <c r="A4" s="16"/>
      <c r="B4" s="17" t="s">
        <v>150</v>
      </c>
      <c r="C4" s="17" t="s">
        <v>131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8"/>
    </row>
    <row r="5" spans="1:53" x14ac:dyDescent="0.25">
      <c r="A5" s="16">
        <v>1</v>
      </c>
      <c r="B5" s="16" t="str">
        <f>IF(VLOOKUP($A5,'geocodes &amp; mnemonic list'!$A$5:$D$55,2,FALSE)&lt;&gt;"",VLOOKUP($A5,'geocodes &amp; mnemonic list'!$A$5:$D$55,2,FALSE),"")</f>
        <v>Denver</v>
      </c>
      <c r="C5" s="16" t="str">
        <f>IF(VLOOKUP($A5,'geocodes &amp; mnemonic list'!$A$5:$E$104,5,FALSE)=0,"",VLOOKUP($A5,'geocodes &amp; mnemonic list'!$A$5:$E$104,5,FALSE))</f>
        <v>IUSA_MDEN</v>
      </c>
      <c r="D5" s="9" t="str">
        <f>IF(AND($C5&lt;&gt;"",D$2&lt;&gt;""),D$2&amp;"."&amp;$C5,"")</f>
        <v>FHHOLDQ.IUSA_MDEN</v>
      </c>
      <c r="E5" t="str">
        <f t="shared" ref="E5:BA10" si="0">IF(AND($C5&lt;&gt;"",E$2&lt;&gt;""),E$2&amp;"."&amp;$C5,"")</f>
        <v>FPOP2024Q.IUSA_MDEN</v>
      </c>
      <c r="F5" t="str">
        <f t="shared" si="0"/>
        <v>FPOP2529Q.IUSA_MDEN</v>
      </c>
      <c r="G5" t="str">
        <f t="shared" si="0"/>
        <v>FPOP3034Q.IUSA_MDEN</v>
      </c>
      <c r="H5" t="str">
        <f t="shared" si="0"/>
        <v>FPOPQ.IUSA_MDEN</v>
      </c>
      <c r="I5" t="str">
        <f t="shared" si="0"/>
        <v>FYHHMEDQ.IUSA_MDEN</v>
      </c>
      <c r="J5" t="str">
        <f t="shared" si="0"/>
        <v>FET.IUSA_MDEN</v>
      </c>
      <c r="K5" t="str">
        <f t="shared" si="0"/>
        <v>FCPIU.IUSA_MDEN</v>
      </c>
      <c r="L5" t="str">
        <f t="shared" si="0"/>
        <v>FGDP$Q.IUSA_MDEN</v>
      </c>
      <c r="M5" t="str">
        <f t="shared" si="0"/>
        <v>FHPNR.IUSA_MDEN</v>
      </c>
      <c r="N5" t="str">
        <f t="shared" si="0"/>
        <v>FHPNM.IUSA_MDEN</v>
      </c>
      <c r="O5" t="str">
        <f t="shared" si="0"/>
        <v>FHX1.IUSA_MDEN</v>
      </c>
      <c r="P5" t="str">
        <f t="shared" si="0"/>
        <v>FHX1MED.IUSA_MDEN</v>
      </c>
      <c r="Q5" t="str">
        <f t="shared" si="0"/>
        <v/>
      </c>
      <c r="R5" t="str">
        <f t="shared" si="0"/>
        <v/>
      </c>
      <c r="S5" t="str">
        <f t="shared" si="0"/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 t="str">
        <f t="shared" si="0"/>
        <v/>
      </c>
      <c r="AA5" t="str">
        <f t="shared" si="0"/>
        <v/>
      </c>
      <c r="AB5" t="str">
        <f t="shared" si="0"/>
        <v/>
      </c>
      <c r="AC5" t="str">
        <f t="shared" si="0"/>
        <v/>
      </c>
      <c r="AD5" t="str">
        <f t="shared" si="0"/>
        <v/>
      </c>
      <c r="AE5" t="str">
        <f t="shared" si="0"/>
        <v/>
      </c>
      <c r="AF5" t="str">
        <f t="shared" si="0"/>
        <v/>
      </c>
      <c r="AG5" t="str">
        <f t="shared" si="0"/>
        <v/>
      </c>
      <c r="AH5" t="str">
        <f t="shared" si="0"/>
        <v/>
      </c>
      <c r="AI5" t="str">
        <f t="shared" si="0"/>
        <v/>
      </c>
      <c r="AJ5" t="str">
        <f t="shared" si="0"/>
        <v/>
      </c>
      <c r="AK5" t="str">
        <f t="shared" si="0"/>
        <v/>
      </c>
      <c r="AL5" t="str">
        <f t="shared" si="0"/>
        <v/>
      </c>
      <c r="AM5" t="str">
        <f t="shared" si="0"/>
        <v/>
      </c>
      <c r="AN5" t="str">
        <f t="shared" si="0"/>
        <v/>
      </c>
      <c r="AO5" t="str">
        <f t="shared" si="0"/>
        <v/>
      </c>
      <c r="AP5" t="str">
        <f t="shared" si="0"/>
        <v/>
      </c>
      <c r="AQ5" t="str">
        <f t="shared" si="0"/>
        <v/>
      </c>
      <c r="AR5" t="str">
        <f t="shared" si="0"/>
        <v/>
      </c>
      <c r="AS5" t="str">
        <f t="shared" si="0"/>
        <v/>
      </c>
      <c r="AT5" t="str">
        <f t="shared" si="0"/>
        <v/>
      </c>
      <c r="AU5" t="str">
        <f t="shared" si="0"/>
        <v/>
      </c>
      <c r="AV5" t="str">
        <f t="shared" si="0"/>
        <v/>
      </c>
      <c r="AW5" t="str">
        <f t="shared" si="0"/>
        <v/>
      </c>
      <c r="AX5" t="str">
        <f t="shared" si="0"/>
        <v/>
      </c>
      <c r="AY5" t="str">
        <f t="shared" si="0"/>
        <v/>
      </c>
      <c r="AZ5" t="str">
        <f t="shared" si="0"/>
        <v/>
      </c>
      <c r="BA5" s="10" t="str">
        <f t="shared" si="0"/>
        <v/>
      </c>
    </row>
    <row r="6" spans="1:53" x14ac:dyDescent="0.25">
      <c r="A6" s="16">
        <v>2</v>
      </c>
      <c r="B6" s="16" t="str">
        <f>IF(VLOOKUP($A6,'geocodes &amp; mnemonic list'!$A$5:$D$55,2,FALSE)&lt;&gt;"",VLOOKUP($A6,'geocodes &amp; mnemonic list'!$A$5:$D$55,2,FALSE),"")</f>
        <v>Los Angeles</v>
      </c>
      <c r="C6" s="16" t="str">
        <f>IF(VLOOKUP($A6,'geocodes &amp; mnemonic list'!$A$5:$E$104,5,FALSE)=0,"",VLOOKUP($A6,'geocodes &amp; mnemonic list'!$A$5:$E$104,5,FALSE))</f>
        <v>IUSA_DMLOS</v>
      </c>
      <c r="D6" s="9" t="str">
        <f t="shared" ref="D6:S54" si="1">IF(AND($C6&lt;&gt;"",D$2&lt;&gt;""),D$2&amp;"."&amp;$C6,"")</f>
        <v>FHHOLDQ.IUSA_DMLOS</v>
      </c>
      <c r="E6" t="str">
        <f t="shared" si="1"/>
        <v>FPOP2024Q.IUSA_DMLOS</v>
      </c>
      <c r="F6" t="str">
        <f t="shared" si="1"/>
        <v>FPOP2529Q.IUSA_DMLOS</v>
      </c>
      <c r="G6" t="str">
        <f t="shared" si="1"/>
        <v>FPOP3034Q.IUSA_DMLOS</v>
      </c>
      <c r="H6" t="str">
        <f t="shared" si="1"/>
        <v>FPOPQ.IUSA_DMLOS</v>
      </c>
      <c r="I6" t="str">
        <f t="shared" si="1"/>
        <v>FYHHMEDQ.IUSA_DMLOS</v>
      </c>
      <c r="J6" t="str">
        <f t="shared" si="1"/>
        <v>FET.IUSA_DMLOS</v>
      </c>
      <c r="K6" t="str">
        <f t="shared" si="1"/>
        <v>FCPIU.IUSA_DMLOS</v>
      </c>
      <c r="L6" t="str">
        <f t="shared" si="1"/>
        <v>FGDP$Q.IUSA_DMLOS</v>
      </c>
      <c r="M6" t="str">
        <f t="shared" si="1"/>
        <v>FHPNR.IUSA_DMLOS</v>
      </c>
      <c r="N6" t="str">
        <f t="shared" si="1"/>
        <v>FHPNM.IUSA_DMLOS</v>
      </c>
      <c r="O6" t="str">
        <f t="shared" si="1"/>
        <v>FHX1.IUSA_DMLOS</v>
      </c>
      <c r="P6" t="str">
        <f t="shared" si="1"/>
        <v>FHX1MED.IUSA_DMLOS</v>
      </c>
      <c r="Q6" t="str">
        <f t="shared" si="1"/>
        <v/>
      </c>
      <c r="R6" t="str">
        <f t="shared" si="1"/>
        <v/>
      </c>
      <c r="S6" t="str">
        <f t="shared" si="1"/>
        <v/>
      </c>
      <c r="T6" t="str">
        <f t="shared" si="0"/>
        <v/>
      </c>
      <c r="U6" t="str">
        <f t="shared" si="0"/>
        <v/>
      </c>
      <c r="V6" t="str">
        <f t="shared" si="0"/>
        <v/>
      </c>
      <c r="W6" t="str">
        <f t="shared" si="0"/>
        <v/>
      </c>
      <c r="X6" t="str">
        <f t="shared" si="0"/>
        <v/>
      </c>
      <c r="Y6" t="str">
        <f t="shared" si="0"/>
        <v/>
      </c>
      <c r="Z6" t="str">
        <f t="shared" si="0"/>
        <v/>
      </c>
      <c r="AA6" t="str">
        <f t="shared" si="0"/>
        <v/>
      </c>
      <c r="AB6" t="str">
        <f t="shared" si="0"/>
        <v/>
      </c>
      <c r="AC6" t="str">
        <f t="shared" si="0"/>
        <v/>
      </c>
      <c r="AD6" t="str">
        <f t="shared" si="0"/>
        <v/>
      </c>
      <c r="AE6" t="str">
        <f t="shared" si="0"/>
        <v/>
      </c>
      <c r="AF6" t="str">
        <f t="shared" si="0"/>
        <v/>
      </c>
      <c r="AG6" t="str">
        <f t="shared" si="0"/>
        <v/>
      </c>
      <c r="AH6" t="str">
        <f t="shared" si="0"/>
        <v/>
      </c>
      <c r="AI6" t="str">
        <f t="shared" si="0"/>
        <v/>
      </c>
      <c r="AJ6" t="str">
        <f t="shared" si="0"/>
        <v/>
      </c>
      <c r="AK6" t="str">
        <f t="shared" si="0"/>
        <v/>
      </c>
      <c r="AL6" t="str">
        <f t="shared" si="0"/>
        <v/>
      </c>
      <c r="AM6" t="str">
        <f t="shared" si="0"/>
        <v/>
      </c>
      <c r="AN6" t="str">
        <f t="shared" si="0"/>
        <v/>
      </c>
      <c r="AO6" t="str">
        <f t="shared" si="0"/>
        <v/>
      </c>
      <c r="AP6" t="str">
        <f t="shared" si="0"/>
        <v/>
      </c>
      <c r="AQ6" t="str">
        <f t="shared" si="0"/>
        <v/>
      </c>
      <c r="AR6" t="str">
        <f t="shared" si="0"/>
        <v/>
      </c>
      <c r="AS6" t="str">
        <f t="shared" si="0"/>
        <v/>
      </c>
      <c r="AT6" t="str">
        <f t="shared" si="0"/>
        <v/>
      </c>
      <c r="AU6" t="str">
        <f t="shared" si="0"/>
        <v/>
      </c>
      <c r="AV6" t="str">
        <f t="shared" si="0"/>
        <v/>
      </c>
      <c r="AW6" t="str">
        <f t="shared" si="0"/>
        <v/>
      </c>
      <c r="AX6" t="str">
        <f t="shared" si="0"/>
        <v/>
      </c>
      <c r="AY6" t="str">
        <f t="shared" si="0"/>
        <v/>
      </c>
      <c r="AZ6" t="str">
        <f t="shared" si="0"/>
        <v/>
      </c>
      <c r="BA6" s="10" t="str">
        <f t="shared" si="0"/>
        <v/>
      </c>
    </row>
    <row r="7" spans="1:53" x14ac:dyDescent="0.25">
      <c r="A7" s="16">
        <v>3</v>
      </c>
      <c r="B7" s="16" t="str">
        <f>IF(VLOOKUP($A7,'geocodes &amp; mnemonic list'!$A$5:$D$55,2,FALSE)&lt;&gt;"",VLOOKUP($A7,'geocodes &amp; mnemonic list'!$A$5:$D$55,2,FALSE),"")</f>
        <v>Oakland-East Bay</v>
      </c>
      <c r="C7" s="16" t="str">
        <f>IF(VLOOKUP($A7,'geocodes &amp; mnemonic list'!$A$5:$E$104,5,FALSE)=0,"",VLOOKUP($A7,'geocodes &amp; mnemonic list'!$A$5:$E$104,5,FALSE))</f>
        <v>IUSA_DMOAK</v>
      </c>
      <c r="D7" s="9" t="str">
        <f t="shared" si="1"/>
        <v>FHHOLDQ.IUSA_DMOAK</v>
      </c>
      <c r="E7" t="str">
        <f t="shared" si="0"/>
        <v>FPOP2024Q.IUSA_DMOAK</v>
      </c>
      <c r="F7" t="str">
        <f t="shared" si="0"/>
        <v>FPOP2529Q.IUSA_DMOAK</v>
      </c>
      <c r="G7" t="str">
        <f t="shared" si="0"/>
        <v>FPOP3034Q.IUSA_DMOAK</v>
      </c>
      <c r="H7" t="str">
        <f t="shared" si="0"/>
        <v>FPOPQ.IUSA_DMOAK</v>
      </c>
      <c r="I7" t="str">
        <f t="shared" si="0"/>
        <v>FYHHMEDQ.IUSA_DMOAK</v>
      </c>
      <c r="J7" t="str">
        <f t="shared" si="0"/>
        <v>FET.IUSA_DMOAK</v>
      </c>
      <c r="K7" t="str">
        <f t="shared" si="0"/>
        <v>FCPIU.IUSA_DMOAK</v>
      </c>
      <c r="L7" t="str">
        <f t="shared" si="0"/>
        <v>FGDP$Q.IUSA_DMOAK</v>
      </c>
      <c r="M7" t="str">
        <f t="shared" si="0"/>
        <v>FHPNR.IUSA_DMOAK</v>
      </c>
      <c r="N7" t="str">
        <f t="shared" si="0"/>
        <v>FHPNM.IUSA_DMOAK</v>
      </c>
      <c r="O7" t="str">
        <f t="shared" si="0"/>
        <v>FHX1.IUSA_DMOAK</v>
      </c>
      <c r="P7" t="str">
        <f t="shared" si="0"/>
        <v>FHX1MED.IUSA_DMOAK</v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0"/>
        <v/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 t="str">
        <f t="shared" si="0"/>
        <v/>
      </c>
      <c r="Z7" t="str">
        <f t="shared" si="0"/>
        <v/>
      </c>
      <c r="AA7" t="str">
        <f t="shared" si="0"/>
        <v/>
      </c>
      <c r="AB7" t="str">
        <f t="shared" si="0"/>
        <v/>
      </c>
      <c r="AC7" t="str">
        <f t="shared" si="0"/>
        <v/>
      </c>
      <c r="AD7" t="str">
        <f t="shared" si="0"/>
        <v/>
      </c>
      <c r="AE7" t="str">
        <f t="shared" si="0"/>
        <v/>
      </c>
      <c r="AF7" t="str">
        <f t="shared" si="0"/>
        <v/>
      </c>
      <c r="AG7" t="str">
        <f t="shared" si="0"/>
        <v/>
      </c>
      <c r="AH7" t="str">
        <f t="shared" si="0"/>
        <v/>
      </c>
      <c r="AI7" t="str">
        <f t="shared" si="0"/>
        <v/>
      </c>
      <c r="AJ7" t="str">
        <f t="shared" si="0"/>
        <v/>
      </c>
      <c r="AK7" t="str">
        <f t="shared" si="0"/>
        <v/>
      </c>
      <c r="AL7" t="str">
        <f t="shared" si="0"/>
        <v/>
      </c>
      <c r="AM7" t="str">
        <f t="shared" si="0"/>
        <v/>
      </c>
      <c r="AN7" t="str">
        <f t="shared" si="0"/>
        <v/>
      </c>
      <c r="AO7" t="str">
        <f t="shared" si="0"/>
        <v/>
      </c>
      <c r="AP7" t="str">
        <f t="shared" si="0"/>
        <v/>
      </c>
      <c r="AQ7" t="str">
        <f t="shared" si="0"/>
        <v/>
      </c>
      <c r="AR7" t="str">
        <f t="shared" si="0"/>
        <v/>
      </c>
      <c r="AS7" t="str">
        <f t="shared" si="0"/>
        <v/>
      </c>
      <c r="AT7" t="str">
        <f t="shared" si="0"/>
        <v/>
      </c>
      <c r="AU7" t="str">
        <f t="shared" si="0"/>
        <v/>
      </c>
      <c r="AV7" t="str">
        <f t="shared" si="0"/>
        <v/>
      </c>
      <c r="AW7" t="str">
        <f t="shared" si="0"/>
        <v/>
      </c>
      <c r="AX7" t="str">
        <f t="shared" si="0"/>
        <v/>
      </c>
      <c r="AY7" t="str">
        <f t="shared" si="0"/>
        <v/>
      </c>
      <c r="AZ7" t="str">
        <f t="shared" si="0"/>
        <v/>
      </c>
      <c r="BA7" s="10" t="str">
        <f t="shared" si="0"/>
        <v/>
      </c>
    </row>
    <row r="8" spans="1:53" x14ac:dyDescent="0.25">
      <c r="A8" s="16">
        <v>4</v>
      </c>
      <c r="B8" s="16" t="str">
        <f>IF(VLOOKUP($A8,'geocodes &amp; mnemonic list'!$A$5:$D$55,2,FALSE)&lt;&gt;"",VLOOKUP($A8,'geocodes &amp; mnemonic list'!$A$5:$D$55,2,FALSE),"")</f>
        <v>Orange County</v>
      </c>
      <c r="C8" s="16" t="str">
        <f>IF(VLOOKUP($A8,'geocodes &amp; mnemonic list'!$A$5:$E$104,5,FALSE)=0,"",VLOOKUP($A8,'geocodes &amp; mnemonic list'!$A$5:$E$104,5,FALSE))</f>
        <v>IUSA_DMANA</v>
      </c>
      <c r="D8" s="9" t="str">
        <f t="shared" si="1"/>
        <v>FHHOLDQ.IUSA_DMANA</v>
      </c>
      <c r="E8" t="str">
        <f t="shared" si="0"/>
        <v>FPOP2024Q.IUSA_DMANA</v>
      </c>
      <c r="F8" t="str">
        <f t="shared" si="0"/>
        <v>FPOP2529Q.IUSA_DMANA</v>
      </c>
      <c r="G8" t="str">
        <f t="shared" si="0"/>
        <v>FPOP3034Q.IUSA_DMANA</v>
      </c>
      <c r="H8" t="str">
        <f t="shared" si="0"/>
        <v>FPOPQ.IUSA_DMANA</v>
      </c>
      <c r="I8" t="str">
        <f t="shared" si="0"/>
        <v>FYHHMEDQ.IUSA_DMANA</v>
      </c>
      <c r="J8" t="str">
        <f t="shared" si="0"/>
        <v>FET.IUSA_DMANA</v>
      </c>
      <c r="K8" t="str">
        <f t="shared" si="0"/>
        <v>FCPIU.IUSA_DMANA</v>
      </c>
      <c r="L8" t="str">
        <f t="shared" si="0"/>
        <v>FGDP$Q.IUSA_DMANA</v>
      </c>
      <c r="M8" t="str">
        <f t="shared" si="0"/>
        <v>FHPNR.IUSA_DMANA</v>
      </c>
      <c r="N8" t="str">
        <f t="shared" si="0"/>
        <v>FHPNM.IUSA_DMANA</v>
      </c>
      <c r="O8" t="str">
        <f t="shared" si="0"/>
        <v>FHX1.IUSA_DMANA</v>
      </c>
      <c r="P8" t="str">
        <f t="shared" si="0"/>
        <v>FHX1MED.IUSA_DMANA</v>
      </c>
      <c r="Q8" t="str">
        <f t="shared" si="0"/>
        <v/>
      </c>
      <c r="R8" t="str">
        <f t="shared" si="0"/>
        <v/>
      </c>
      <c r="S8" t="str">
        <f t="shared" si="0"/>
        <v/>
      </c>
      <c r="T8" t="str">
        <f t="shared" si="0"/>
        <v/>
      </c>
      <c r="U8" t="str">
        <f t="shared" si="0"/>
        <v/>
      </c>
      <c r="V8" t="str">
        <f t="shared" si="0"/>
        <v/>
      </c>
      <c r="W8" t="str">
        <f t="shared" si="0"/>
        <v/>
      </c>
      <c r="X8" t="str">
        <f t="shared" si="0"/>
        <v/>
      </c>
      <c r="Y8" t="str">
        <f t="shared" si="0"/>
        <v/>
      </c>
      <c r="Z8" t="str">
        <f t="shared" si="0"/>
        <v/>
      </c>
      <c r="AA8" t="str">
        <f t="shared" si="0"/>
        <v/>
      </c>
      <c r="AB8" t="str">
        <f t="shared" si="0"/>
        <v/>
      </c>
      <c r="AC8" t="str">
        <f t="shared" si="0"/>
        <v/>
      </c>
      <c r="AD8" t="str">
        <f t="shared" si="0"/>
        <v/>
      </c>
      <c r="AE8" t="str">
        <f t="shared" si="0"/>
        <v/>
      </c>
      <c r="AF8" t="str">
        <f t="shared" si="0"/>
        <v/>
      </c>
      <c r="AG8" t="str">
        <f t="shared" si="0"/>
        <v/>
      </c>
      <c r="AH8" t="str">
        <f t="shared" si="0"/>
        <v/>
      </c>
      <c r="AI8" t="str">
        <f t="shared" si="0"/>
        <v/>
      </c>
      <c r="AJ8" t="str">
        <f t="shared" si="0"/>
        <v/>
      </c>
      <c r="AK8" t="str">
        <f t="shared" si="0"/>
        <v/>
      </c>
      <c r="AL8" t="str">
        <f t="shared" si="0"/>
        <v/>
      </c>
      <c r="AM8" t="str">
        <f t="shared" si="0"/>
        <v/>
      </c>
      <c r="AN8" t="str">
        <f t="shared" si="0"/>
        <v/>
      </c>
      <c r="AO8" t="str">
        <f t="shared" si="0"/>
        <v/>
      </c>
      <c r="AP8" t="str">
        <f t="shared" si="0"/>
        <v/>
      </c>
      <c r="AQ8" t="str">
        <f t="shared" si="0"/>
        <v/>
      </c>
      <c r="AR8" t="str">
        <f t="shared" si="0"/>
        <v/>
      </c>
      <c r="AS8" t="str">
        <f t="shared" si="0"/>
        <v/>
      </c>
      <c r="AT8" t="str">
        <f t="shared" si="0"/>
        <v/>
      </c>
      <c r="AU8" t="str">
        <f t="shared" si="0"/>
        <v/>
      </c>
      <c r="AV8" t="str">
        <f t="shared" si="0"/>
        <v/>
      </c>
      <c r="AW8" t="str">
        <f t="shared" si="0"/>
        <v/>
      </c>
      <c r="AX8" t="str">
        <f t="shared" si="0"/>
        <v/>
      </c>
      <c r="AY8" t="str">
        <f t="shared" si="0"/>
        <v/>
      </c>
      <c r="AZ8" t="str">
        <f t="shared" si="0"/>
        <v/>
      </c>
      <c r="BA8" s="10" t="str">
        <f t="shared" si="0"/>
        <v/>
      </c>
    </row>
    <row r="9" spans="1:53" x14ac:dyDescent="0.25">
      <c r="A9" s="16">
        <v>5</v>
      </c>
      <c r="B9" s="16" t="str">
        <f>IF(VLOOKUP($A9,'geocodes &amp; mnemonic list'!$A$5:$D$55,2,FALSE)&lt;&gt;"",VLOOKUP($A9,'geocodes &amp; mnemonic list'!$A$5:$D$55,2,FALSE),"")</f>
        <v>Portland</v>
      </c>
      <c r="C9" s="16" t="str">
        <f>IF(VLOOKUP($A9,'geocodes &amp; mnemonic list'!$A$5:$E$104,5,FALSE)=0,"",VLOOKUP($A9,'geocodes &amp; mnemonic list'!$A$5:$E$104,5,FALSE))</f>
        <v>IUSA_MPOT</v>
      </c>
      <c r="D9" s="9" t="str">
        <f t="shared" si="1"/>
        <v>FHHOLDQ.IUSA_MPOT</v>
      </c>
      <c r="E9" t="str">
        <f t="shared" si="0"/>
        <v>FPOP2024Q.IUSA_MPOT</v>
      </c>
      <c r="F9" t="str">
        <f t="shared" si="0"/>
        <v>FPOP2529Q.IUSA_MPOT</v>
      </c>
      <c r="G9" t="str">
        <f t="shared" si="0"/>
        <v>FPOP3034Q.IUSA_MPOT</v>
      </c>
      <c r="H9" t="str">
        <f t="shared" si="0"/>
        <v>FPOPQ.IUSA_MPOT</v>
      </c>
      <c r="I9" t="str">
        <f t="shared" si="0"/>
        <v>FYHHMEDQ.IUSA_MPOT</v>
      </c>
      <c r="J9" t="str">
        <f t="shared" si="0"/>
        <v>FET.IUSA_MPOT</v>
      </c>
      <c r="K9" t="str">
        <f t="shared" si="0"/>
        <v>FCPIU.IUSA_MPOT</v>
      </c>
      <c r="L9" t="str">
        <f t="shared" si="0"/>
        <v>FGDP$Q.IUSA_MPOT</v>
      </c>
      <c r="M9" t="str">
        <f t="shared" si="0"/>
        <v>FHPNR.IUSA_MPOT</v>
      </c>
      <c r="N9" t="str">
        <f t="shared" si="0"/>
        <v>FHPNM.IUSA_MPOT</v>
      </c>
      <c r="O9" t="str">
        <f t="shared" si="0"/>
        <v>FHX1.IUSA_MPOT</v>
      </c>
      <c r="P9" t="str">
        <f t="shared" si="0"/>
        <v>FHX1MED.IUSA_MPOT</v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0"/>
        <v/>
      </c>
      <c r="U9" t="str">
        <f t="shared" si="0"/>
        <v/>
      </c>
      <c r="V9" t="str">
        <f t="shared" si="0"/>
        <v/>
      </c>
      <c r="W9" t="str">
        <f t="shared" si="0"/>
        <v/>
      </c>
      <c r="X9" t="str">
        <f t="shared" si="0"/>
        <v/>
      </c>
      <c r="Y9" t="str">
        <f t="shared" si="0"/>
        <v/>
      </c>
      <c r="Z9" t="str">
        <f t="shared" si="0"/>
        <v/>
      </c>
      <c r="AA9" t="str">
        <f t="shared" si="0"/>
        <v/>
      </c>
      <c r="AB9" t="str">
        <f t="shared" si="0"/>
        <v/>
      </c>
      <c r="AC9" t="str">
        <f t="shared" si="0"/>
        <v/>
      </c>
      <c r="AD9" t="str">
        <f t="shared" si="0"/>
        <v/>
      </c>
      <c r="AE9" t="str">
        <f t="shared" si="0"/>
        <v/>
      </c>
      <c r="AF9" t="str">
        <f t="shared" si="0"/>
        <v/>
      </c>
      <c r="AG9" t="str">
        <f t="shared" si="0"/>
        <v/>
      </c>
      <c r="AH9" t="str">
        <f t="shared" si="0"/>
        <v/>
      </c>
      <c r="AI9" t="str">
        <f t="shared" si="0"/>
        <v/>
      </c>
      <c r="AJ9" t="str">
        <f t="shared" si="0"/>
        <v/>
      </c>
      <c r="AK9" t="str">
        <f t="shared" si="0"/>
        <v/>
      </c>
      <c r="AL9" t="str">
        <f t="shared" si="0"/>
        <v/>
      </c>
      <c r="AM9" t="str">
        <f t="shared" si="0"/>
        <v/>
      </c>
      <c r="AN9" t="str">
        <f t="shared" si="0"/>
        <v/>
      </c>
      <c r="AO9" t="str">
        <f t="shared" si="0"/>
        <v/>
      </c>
      <c r="AP9" t="str">
        <f t="shared" si="0"/>
        <v/>
      </c>
      <c r="AQ9" t="str">
        <f t="shared" si="0"/>
        <v/>
      </c>
      <c r="AR9" t="str">
        <f t="shared" si="0"/>
        <v/>
      </c>
      <c r="AS9" t="str">
        <f t="shared" si="0"/>
        <v/>
      </c>
      <c r="AT9" t="str">
        <f t="shared" si="0"/>
        <v/>
      </c>
      <c r="AU9" t="str">
        <f t="shared" si="0"/>
        <v/>
      </c>
      <c r="AV9" t="str">
        <f t="shared" si="0"/>
        <v/>
      </c>
      <c r="AW9" t="str">
        <f t="shared" si="0"/>
        <v/>
      </c>
      <c r="AX9" t="str">
        <f t="shared" si="0"/>
        <v/>
      </c>
      <c r="AY9" t="str">
        <f t="shared" si="0"/>
        <v/>
      </c>
      <c r="AZ9" t="str">
        <f t="shared" si="0"/>
        <v/>
      </c>
      <c r="BA9" s="10" t="str">
        <f t="shared" si="0"/>
        <v/>
      </c>
    </row>
    <row r="10" spans="1:53" x14ac:dyDescent="0.25">
      <c r="A10" s="16">
        <v>6</v>
      </c>
      <c r="B10" s="16" t="str">
        <f>IF(VLOOKUP($A10,'geocodes &amp; mnemonic list'!$A$5:$D$55,2,FALSE)&lt;&gt;"",VLOOKUP($A10,'geocodes &amp; mnemonic list'!$A$5:$D$55,2,FALSE),"")</f>
        <v>San Jose</v>
      </c>
      <c r="C10" s="16" t="str">
        <f>IF(VLOOKUP($A10,'geocodes &amp; mnemonic list'!$A$5:$E$104,5,FALSE)=0,"",VLOOKUP($A10,'geocodes &amp; mnemonic list'!$A$5:$E$104,5,FALSE))</f>
        <v>IUSA_MSAJ</v>
      </c>
      <c r="D10" s="9" t="str">
        <f t="shared" si="1"/>
        <v>FHHOLDQ.IUSA_MSAJ</v>
      </c>
      <c r="E10" t="str">
        <f t="shared" si="0"/>
        <v>FPOP2024Q.IUSA_MSAJ</v>
      </c>
      <c r="F10" t="str">
        <f t="shared" si="0"/>
        <v>FPOP2529Q.IUSA_MSAJ</v>
      </c>
      <c r="G10" t="str">
        <f t="shared" si="0"/>
        <v>FPOP3034Q.IUSA_MSAJ</v>
      </c>
      <c r="H10" t="str">
        <f t="shared" si="0"/>
        <v>FPOPQ.IUSA_MSAJ</v>
      </c>
      <c r="I10" t="str">
        <f t="shared" si="0"/>
        <v>FYHHMEDQ.IUSA_MSAJ</v>
      </c>
      <c r="J10" t="str">
        <f t="shared" si="0"/>
        <v>FET.IUSA_MSAJ</v>
      </c>
      <c r="K10" t="str">
        <f t="shared" si="0"/>
        <v>FCPIU.IUSA_MSAJ</v>
      </c>
      <c r="L10" t="str">
        <f t="shared" si="0"/>
        <v>FGDP$Q.IUSA_MSAJ</v>
      </c>
      <c r="M10" t="str">
        <f t="shared" si="0"/>
        <v>FHPNR.IUSA_MSAJ</v>
      </c>
      <c r="N10" t="str">
        <f t="shared" si="0"/>
        <v>FHPNM.IUSA_MSAJ</v>
      </c>
      <c r="O10" t="str">
        <f t="shared" si="0"/>
        <v>FHX1.IUSA_MSAJ</v>
      </c>
      <c r="P10" t="str">
        <f t="shared" si="0"/>
        <v>FHX1MED.IUSA_MSAJ</v>
      </c>
      <c r="Q10" t="str">
        <f t="shared" si="0"/>
        <v/>
      </c>
      <c r="R10" t="str">
        <f t="shared" si="0"/>
        <v/>
      </c>
      <c r="S10" t="str">
        <f t="shared" si="0"/>
        <v/>
      </c>
      <c r="T10" t="str">
        <f t="shared" si="0"/>
        <v/>
      </c>
      <c r="U10" t="str">
        <f t="shared" si="0"/>
        <v/>
      </c>
      <c r="V10" t="str">
        <f t="shared" si="0"/>
        <v/>
      </c>
      <c r="W10" t="str">
        <f t="shared" si="0"/>
        <v/>
      </c>
      <c r="X10" t="str">
        <f t="shared" si="0"/>
        <v/>
      </c>
      <c r="Y10" t="str">
        <f t="shared" si="0"/>
        <v/>
      </c>
      <c r="Z10" t="str">
        <f t="shared" si="0"/>
        <v/>
      </c>
      <c r="AA10" t="str">
        <f t="shared" si="0"/>
        <v/>
      </c>
      <c r="AB10" t="str">
        <f t="shared" si="0"/>
        <v/>
      </c>
      <c r="AC10" t="str">
        <f t="shared" si="0"/>
        <v/>
      </c>
      <c r="AD10" t="str">
        <f t="shared" ref="E10:BA15" si="2">IF(AND($C10&lt;&gt;"",AD$2&lt;&gt;""),AD$2&amp;"."&amp;$C10,"")</f>
        <v/>
      </c>
      <c r="AE10" t="str">
        <f t="shared" si="2"/>
        <v/>
      </c>
      <c r="AF10" t="str">
        <f t="shared" si="2"/>
        <v/>
      </c>
      <c r="AG10" t="str">
        <f t="shared" si="2"/>
        <v/>
      </c>
      <c r="AH10" t="str">
        <f t="shared" si="2"/>
        <v/>
      </c>
      <c r="AI10" t="str">
        <f t="shared" si="2"/>
        <v/>
      </c>
      <c r="AJ10" t="str">
        <f t="shared" si="2"/>
        <v/>
      </c>
      <c r="AK10" t="str">
        <f t="shared" si="2"/>
        <v/>
      </c>
      <c r="AL10" t="str">
        <f t="shared" si="2"/>
        <v/>
      </c>
      <c r="AM10" t="str">
        <f t="shared" si="2"/>
        <v/>
      </c>
      <c r="AN10" t="str">
        <f t="shared" si="2"/>
        <v/>
      </c>
      <c r="AO10" t="str">
        <f t="shared" si="2"/>
        <v/>
      </c>
      <c r="AP10" t="str">
        <f t="shared" si="2"/>
        <v/>
      </c>
      <c r="AQ10" t="str">
        <f t="shared" si="2"/>
        <v/>
      </c>
      <c r="AR10" t="str">
        <f t="shared" si="2"/>
        <v/>
      </c>
      <c r="AS10" t="str">
        <f t="shared" si="2"/>
        <v/>
      </c>
      <c r="AT10" t="str">
        <f t="shared" si="2"/>
        <v/>
      </c>
      <c r="AU10" t="str">
        <f t="shared" si="2"/>
        <v/>
      </c>
      <c r="AV10" t="str">
        <f t="shared" si="2"/>
        <v/>
      </c>
      <c r="AW10" t="str">
        <f t="shared" si="2"/>
        <v/>
      </c>
      <c r="AX10" t="str">
        <f t="shared" si="2"/>
        <v/>
      </c>
      <c r="AY10" t="str">
        <f t="shared" si="2"/>
        <v/>
      </c>
      <c r="AZ10" t="str">
        <f t="shared" si="2"/>
        <v/>
      </c>
      <c r="BA10" s="10" t="str">
        <f t="shared" si="2"/>
        <v/>
      </c>
    </row>
    <row r="11" spans="1:53" x14ac:dyDescent="0.25">
      <c r="A11" s="16">
        <v>7</v>
      </c>
      <c r="B11" s="16" t="str">
        <f>IF(VLOOKUP($A11,'geocodes &amp; mnemonic list'!$A$5:$D$55,2,FALSE)&lt;&gt;"",VLOOKUP($A11,'geocodes &amp; mnemonic list'!$A$5:$D$55,2,FALSE),"")</f>
        <v>San Diego</v>
      </c>
      <c r="C11" s="16" t="str">
        <f>IF(VLOOKUP($A11,'geocodes &amp; mnemonic list'!$A$5:$E$104,5,FALSE)=0,"",VLOOKUP($A11,'geocodes &amp; mnemonic list'!$A$5:$E$104,5,FALSE))</f>
        <v>IUSA_MSAN</v>
      </c>
      <c r="D11" s="9" t="str">
        <f t="shared" si="1"/>
        <v>FHHOLDQ.IUSA_MSAN</v>
      </c>
      <c r="E11" t="str">
        <f t="shared" si="2"/>
        <v>FPOP2024Q.IUSA_MSAN</v>
      </c>
      <c r="F11" t="str">
        <f t="shared" si="2"/>
        <v>FPOP2529Q.IUSA_MSAN</v>
      </c>
      <c r="G11" t="str">
        <f t="shared" si="2"/>
        <v>FPOP3034Q.IUSA_MSAN</v>
      </c>
      <c r="H11" t="str">
        <f t="shared" si="2"/>
        <v>FPOPQ.IUSA_MSAN</v>
      </c>
      <c r="I11" t="str">
        <f t="shared" si="2"/>
        <v>FYHHMEDQ.IUSA_MSAN</v>
      </c>
      <c r="J11" t="str">
        <f t="shared" si="2"/>
        <v>FET.IUSA_MSAN</v>
      </c>
      <c r="K11" t="str">
        <f t="shared" si="2"/>
        <v>FCPIU.IUSA_MSAN</v>
      </c>
      <c r="L11" t="str">
        <f t="shared" si="2"/>
        <v>FGDP$Q.IUSA_MSAN</v>
      </c>
      <c r="M11" t="str">
        <f t="shared" si="2"/>
        <v>FHPNR.IUSA_MSAN</v>
      </c>
      <c r="N11" t="str">
        <f t="shared" si="2"/>
        <v>FHPNM.IUSA_MSAN</v>
      </c>
      <c r="O11" t="str">
        <f t="shared" si="2"/>
        <v>FHX1.IUSA_MSAN</v>
      </c>
      <c r="P11" t="str">
        <f t="shared" si="2"/>
        <v>FHX1MED.IUSA_MSAN</v>
      </c>
      <c r="Q11" t="str">
        <f t="shared" si="2"/>
        <v/>
      </c>
      <c r="R11" t="str">
        <f t="shared" si="2"/>
        <v/>
      </c>
      <c r="S11" t="str">
        <f t="shared" si="2"/>
        <v/>
      </c>
      <c r="T11" t="str">
        <f t="shared" si="2"/>
        <v/>
      </c>
      <c r="U11" t="str">
        <f t="shared" si="2"/>
        <v/>
      </c>
      <c r="V11" t="str">
        <f t="shared" si="2"/>
        <v/>
      </c>
      <c r="W11" t="str">
        <f t="shared" si="2"/>
        <v/>
      </c>
      <c r="X11" t="str">
        <f t="shared" si="2"/>
        <v/>
      </c>
      <c r="Y11" t="str">
        <f t="shared" si="2"/>
        <v/>
      </c>
      <c r="Z11" t="str">
        <f t="shared" si="2"/>
        <v/>
      </c>
      <c r="AA11" t="str">
        <f t="shared" si="2"/>
        <v/>
      </c>
      <c r="AB11" t="str">
        <f t="shared" si="2"/>
        <v/>
      </c>
      <c r="AC11" t="str">
        <f t="shared" si="2"/>
        <v/>
      </c>
      <c r="AD11" t="str">
        <f t="shared" si="2"/>
        <v/>
      </c>
      <c r="AE11" t="str">
        <f t="shared" si="2"/>
        <v/>
      </c>
      <c r="AF11" t="str">
        <f t="shared" si="2"/>
        <v/>
      </c>
      <c r="AG11" t="str">
        <f t="shared" si="2"/>
        <v/>
      </c>
      <c r="AH11" t="str">
        <f t="shared" si="2"/>
        <v/>
      </c>
      <c r="AI11" t="str">
        <f t="shared" si="2"/>
        <v/>
      </c>
      <c r="AJ11" t="str">
        <f t="shared" si="2"/>
        <v/>
      </c>
      <c r="AK11" t="str">
        <f t="shared" si="2"/>
        <v/>
      </c>
      <c r="AL11" t="str">
        <f t="shared" si="2"/>
        <v/>
      </c>
      <c r="AM11" t="str">
        <f t="shared" si="2"/>
        <v/>
      </c>
      <c r="AN11" t="str">
        <f t="shared" si="2"/>
        <v/>
      </c>
      <c r="AO11" t="str">
        <f t="shared" si="2"/>
        <v/>
      </c>
      <c r="AP11" t="str">
        <f t="shared" si="2"/>
        <v/>
      </c>
      <c r="AQ11" t="str">
        <f t="shared" si="2"/>
        <v/>
      </c>
      <c r="AR11" t="str">
        <f t="shared" si="2"/>
        <v/>
      </c>
      <c r="AS11" t="str">
        <f t="shared" si="2"/>
        <v/>
      </c>
      <c r="AT11" t="str">
        <f t="shared" si="2"/>
        <v/>
      </c>
      <c r="AU11" t="str">
        <f t="shared" si="2"/>
        <v/>
      </c>
      <c r="AV11" t="str">
        <f t="shared" si="2"/>
        <v/>
      </c>
      <c r="AW11" t="str">
        <f t="shared" si="2"/>
        <v/>
      </c>
      <c r="AX11" t="str">
        <f t="shared" si="2"/>
        <v/>
      </c>
      <c r="AY11" t="str">
        <f t="shared" si="2"/>
        <v/>
      </c>
      <c r="AZ11" t="str">
        <f t="shared" si="2"/>
        <v/>
      </c>
      <c r="BA11" s="10" t="str">
        <f t="shared" si="2"/>
        <v/>
      </c>
    </row>
    <row r="12" spans="1:53" x14ac:dyDescent="0.25">
      <c r="A12" s="16">
        <v>8</v>
      </c>
      <c r="B12" s="16" t="str">
        <f>IF(VLOOKUP($A12,'geocodes &amp; mnemonic list'!$A$5:$D$55,2,FALSE)&lt;&gt;"",VLOOKUP($A12,'geocodes &amp; mnemonic list'!$A$5:$D$55,2,FALSE),"")</f>
        <v>Ventura County</v>
      </c>
      <c r="C12" s="16" t="str">
        <f>IF(VLOOKUP($A12,'geocodes &amp; mnemonic list'!$A$5:$E$104,5,FALSE)=0,"",VLOOKUP($A12,'geocodes &amp; mnemonic list'!$A$5:$E$104,5,FALSE))</f>
        <v>IUSA_MOXN</v>
      </c>
      <c r="D12" s="9" t="str">
        <f t="shared" si="1"/>
        <v>FHHOLDQ.IUSA_MOXN</v>
      </c>
      <c r="E12" t="str">
        <f t="shared" si="2"/>
        <v>FPOP2024Q.IUSA_MOXN</v>
      </c>
      <c r="F12" t="str">
        <f t="shared" si="2"/>
        <v>FPOP2529Q.IUSA_MOXN</v>
      </c>
      <c r="G12" t="str">
        <f t="shared" si="2"/>
        <v>FPOP3034Q.IUSA_MOXN</v>
      </c>
      <c r="H12" t="str">
        <f t="shared" si="2"/>
        <v>FPOPQ.IUSA_MOXN</v>
      </c>
      <c r="I12" t="str">
        <f t="shared" si="2"/>
        <v>FYHHMEDQ.IUSA_MOXN</v>
      </c>
      <c r="J12" t="str">
        <f t="shared" si="2"/>
        <v>FET.IUSA_MOXN</v>
      </c>
      <c r="K12" t="str">
        <f t="shared" si="2"/>
        <v>FCPIU.IUSA_MOXN</v>
      </c>
      <c r="L12" t="str">
        <f t="shared" si="2"/>
        <v>FGDP$Q.IUSA_MOXN</v>
      </c>
      <c r="M12" t="str">
        <f t="shared" si="2"/>
        <v>FHPNR.IUSA_MOXN</v>
      </c>
      <c r="N12" t="str">
        <f t="shared" si="2"/>
        <v>FHPNM.IUSA_MOXN</v>
      </c>
      <c r="O12" t="str">
        <f t="shared" si="2"/>
        <v>FHX1.IUSA_MOXN</v>
      </c>
      <c r="P12" t="str">
        <f t="shared" si="2"/>
        <v>FHX1MED.IUSA_MOXN</v>
      </c>
      <c r="Q12" t="str">
        <f t="shared" si="2"/>
        <v/>
      </c>
      <c r="R12" t="str">
        <f t="shared" si="2"/>
        <v/>
      </c>
      <c r="S12" t="str">
        <f t="shared" si="2"/>
        <v/>
      </c>
      <c r="T12" t="str">
        <f t="shared" si="2"/>
        <v/>
      </c>
      <c r="U12" t="str">
        <f t="shared" si="2"/>
        <v/>
      </c>
      <c r="V12" t="str">
        <f t="shared" si="2"/>
        <v/>
      </c>
      <c r="W12" t="str">
        <f t="shared" si="2"/>
        <v/>
      </c>
      <c r="X12" t="str">
        <f t="shared" si="2"/>
        <v/>
      </c>
      <c r="Y12" t="str">
        <f t="shared" si="2"/>
        <v/>
      </c>
      <c r="Z12" t="str">
        <f t="shared" si="2"/>
        <v/>
      </c>
      <c r="AA12" t="str">
        <f t="shared" si="2"/>
        <v/>
      </c>
      <c r="AB12" t="str">
        <f t="shared" si="2"/>
        <v/>
      </c>
      <c r="AC12" t="str">
        <f t="shared" si="2"/>
        <v/>
      </c>
      <c r="AD12" t="str">
        <f t="shared" si="2"/>
        <v/>
      </c>
      <c r="AE12" t="str">
        <f t="shared" si="2"/>
        <v/>
      </c>
      <c r="AF12" t="str">
        <f t="shared" si="2"/>
        <v/>
      </c>
      <c r="AG12" t="str">
        <f t="shared" si="2"/>
        <v/>
      </c>
      <c r="AH12" t="str">
        <f t="shared" si="2"/>
        <v/>
      </c>
      <c r="AI12" t="str">
        <f t="shared" si="2"/>
        <v/>
      </c>
      <c r="AJ12" t="str">
        <f t="shared" si="2"/>
        <v/>
      </c>
      <c r="AK12" t="str">
        <f t="shared" si="2"/>
        <v/>
      </c>
      <c r="AL12" t="str">
        <f t="shared" si="2"/>
        <v/>
      </c>
      <c r="AM12" t="str">
        <f t="shared" si="2"/>
        <v/>
      </c>
      <c r="AN12" t="str">
        <f t="shared" si="2"/>
        <v/>
      </c>
      <c r="AO12" t="str">
        <f t="shared" si="2"/>
        <v/>
      </c>
      <c r="AP12" t="str">
        <f t="shared" si="2"/>
        <v/>
      </c>
      <c r="AQ12" t="str">
        <f t="shared" si="2"/>
        <v/>
      </c>
      <c r="AR12" t="str">
        <f t="shared" si="2"/>
        <v/>
      </c>
      <c r="AS12" t="str">
        <f t="shared" si="2"/>
        <v/>
      </c>
      <c r="AT12" t="str">
        <f t="shared" si="2"/>
        <v/>
      </c>
      <c r="AU12" t="str">
        <f t="shared" si="2"/>
        <v/>
      </c>
      <c r="AV12" t="str">
        <f t="shared" si="2"/>
        <v/>
      </c>
      <c r="AW12" t="str">
        <f t="shared" si="2"/>
        <v/>
      </c>
      <c r="AX12" t="str">
        <f t="shared" si="2"/>
        <v/>
      </c>
      <c r="AY12" t="str">
        <f t="shared" si="2"/>
        <v/>
      </c>
      <c r="AZ12" t="str">
        <f t="shared" si="2"/>
        <v/>
      </c>
      <c r="BA12" s="10" t="str">
        <f t="shared" si="2"/>
        <v/>
      </c>
    </row>
    <row r="13" spans="1:53" x14ac:dyDescent="0.25">
      <c r="A13" s="16">
        <v>9</v>
      </c>
      <c r="B13" s="16" t="str">
        <f>IF(VLOOKUP($A13,'geocodes &amp; mnemonic list'!$A$5:$D$55,2,FALSE)&lt;&gt;"",VLOOKUP($A13,'geocodes &amp; mnemonic list'!$A$5:$D$55,2,FALSE),"")</f>
        <v>Fairfield County</v>
      </c>
      <c r="C13" s="16" t="str">
        <f>IF(VLOOKUP($A13,'geocodes &amp; mnemonic list'!$A$5:$E$104,5,FALSE)=0,"",VLOOKUP($A13,'geocodes &amp; mnemonic list'!$A$5:$E$104,5,FALSE))</f>
        <v>IUSA_MBSD</v>
      </c>
      <c r="D13" s="9" t="str">
        <f t="shared" si="1"/>
        <v>FHHOLDQ.IUSA_MBSD</v>
      </c>
      <c r="E13" t="str">
        <f t="shared" si="2"/>
        <v>FPOP2024Q.IUSA_MBSD</v>
      </c>
      <c r="F13" t="str">
        <f t="shared" si="2"/>
        <v>FPOP2529Q.IUSA_MBSD</v>
      </c>
      <c r="G13" t="str">
        <f t="shared" si="2"/>
        <v>FPOP3034Q.IUSA_MBSD</v>
      </c>
      <c r="H13" t="str">
        <f t="shared" si="2"/>
        <v>FPOPQ.IUSA_MBSD</v>
      </c>
      <c r="I13" t="str">
        <f t="shared" si="2"/>
        <v>FYHHMEDQ.IUSA_MBSD</v>
      </c>
      <c r="J13" t="str">
        <f t="shared" si="2"/>
        <v>FET.IUSA_MBSD</v>
      </c>
      <c r="K13" t="str">
        <f t="shared" si="2"/>
        <v>FCPIU.IUSA_MBSD</v>
      </c>
      <c r="L13" t="str">
        <f t="shared" si="2"/>
        <v>FGDP$Q.IUSA_MBSD</v>
      </c>
      <c r="M13" t="str">
        <f t="shared" si="2"/>
        <v>FHPNR.IUSA_MBSD</v>
      </c>
      <c r="N13" t="str">
        <f t="shared" si="2"/>
        <v>FHPNM.IUSA_MBSD</v>
      </c>
      <c r="O13" t="str">
        <f t="shared" si="2"/>
        <v>FHX1.IUSA_MBSD</v>
      </c>
      <c r="P13" t="str">
        <f t="shared" si="2"/>
        <v>FHX1MED.IUSA_MBSD</v>
      </c>
      <c r="Q13" t="str">
        <f t="shared" si="2"/>
        <v/>
      </c>
      <c r="R13" t="str">
        <f t="shared" si="2"/>
        <v/>
      </c>
      <c r="S13" t="str">
        <f t="shared" si="2"/>
        <v/>
      </c>
      <c r="T13" t="str">
        <f t="shared" si="2"/>
        <v/>
      </c>
      <c r="U13" t="str">
        <f t="shared" si="2"/>
        <v/>
      </c>
      <c r="V13" t="str">
        <f t="shared" si="2"/>
        <v/>
      </c>
      <c r="W13" t="str">
        <f t="shared" si="2"/>
        <v/>
      </c>
      <c r="X13" t="str">
        <f t="shared" si="2"/>
        <v/>
      </c>
      <c r="Y13" t="str">
        <f t="shared" si="2"/>
        <v/>
      </c>
      <c r="Z13" t="str">
        <f t="shared" si="2"/>
        <v/>
      </c>
      <c r="AA13" t="str">
        <f t="shared" si="2"/>
        <v/>
      </c>
      <c r="AB13" t="str">
        <f t="shared" si="2"/>
        <v/>
      </c>
      <c r="AC13" t="str">
        <f t="shared" si="2"/>
        <v/>
      </c>
      <c r="AD13" t="str">
        <f t="shared" si="2"/>
        <v/>
      </c>
      <c r="AE13" t="str">
        <f t="shared" si="2"/>
        <v/>
      </c>
      <c r="AF13" t="str">
        <f t="shared" si="2"/>
        <v/>
      </c>
      <c r="AG13" t="str">
        <f t="shared" si="2"/>
        <v/>
      </c>
      <c r="AH13" t="str">
        <f t="shared" si="2"/>
        <v/>
      </c>
      <c r="AI13" t="str">
        <f t="shared" si="2"/>
        <v/>
      </c>
      <c r="AJ13" t="str">
        <f t="shared" si="2"/>
        <v/>
      </c>
      <c r="AK13" t="str">
        <f t="shared" si="2"/>
        <v/>
      </c>
      <c r="AL13" t="str">
        <f t="shared" si="2"/>
        <v/>
      </c>
      <c r="AM13" t="str">
        <f t="shared" si="2"/>
        <v/>
      </c>
      <c r="AN13" t="str">
        <f t="shared" si="2"/>
        <v/>
      </c>
      <c r="AO13" t="str">
        <f t="shared" si="2"/>
        <v/>
      </c>
      <c r="AP13" t="str">
        <f t="shared" si="2"/>
        <v/>
      </c>
      <c r="AQ13" t="str">
        <f t="shared" si="2"/>
        <v/>
      </c>
      <c r="AR13" t="str">
        <f t="shared" si="2"/>
        <v/>
      </c>
      <c r="AS13" t="str">
        <f t="shared" si="2"/>
        <v/>
      </c>
      <c r="AT13" t="str">
        <f t="shared" si="2"/>
        <v/>
      </c>
      <c r="AU13" t="str">
        <f t="shared" si="2"/>
        <v/>
      </c>
      <c r="AV13" t="str">
        <f t="shared" si="2"/>
        <v/>
      </c>
      <c r="AW13" t="str">
        <f t="shared" si="2"/>
        <v/>
      </c>
      <c r="AX13" t="str">
        <f t="shared" si="2"/>
        <v/>
      </c>
      <c r="AY13" t="str">
        <f t="shared" si="2"/>
        <v/>
      </c>
      <c r="AZ13" t="str">
        <f t="shared" si="2"/>
        <v/>
      </c>
      <c r="BA13" s="10" t="str">
        <f t="shared" si="2"/>
        <v/>
      </c>
    </row>
    <row r="14" spans="1:53" x14ac:dyDescent="0.25">
      <c r="A14" s="16">
        <v>10</v>
      </c>
      <c r="B14" s="16" t="str">
        <f>IF(VLOOKUP($A14,'geocodes &amp; mnemonic list'!$A$5:$D$55,2,FALSE)&lt;&gt;"",VLOOKUP($A14,'geocodes &amp; mnemonic list'!$A$5:$D$55,2,FALSE),"")</f>
        <v>Boston</v>
      </c>
      <c r="C14" s="16" t="str">
        <f>IF(VLOOKUP($A14,'geocodes &amp; mnemonic list'!$A$5:$E$104,5,FALSE)=0,"",VLOOKUP($A14,'geocodes &amp; mnemonic list'!$A$5:$E$104,5,FALSE))</f>
        <v>IUSA_MBOS</v>
      </c>
      <c r="D14" s="9" t="str">
        <f t="shared" si="1"/>
        <v>FHHOLDQ.IUSA_MBOS</v>
      </c>
      <c r="E14" t="str">
        <f t="shared" si="2"/>
        <v>FPOP2024Q.IUSA_MBOS</v>
      </c>
      <c r="F14" t="str">
        <f t="shared" si="2"/>
        <v>FPOP2529Q.IUSA_MBOS</v>
      </c>
      <c r="G14" t="str">
        <f t="shared" si="2"/>
        <v>FPOP3034Q.IUSA_MBOS</v>
      </c>
      <c r="H14" t="str">
        <f t="shared" si="2"/>
        <v>FPOPQ.IUSA_MBOS</v>
      </c>
      <c r="I14" t="str">
        <f t="shared" si="2"/>
        <v>FYHHMEDQ.IUSA_MBOS</v>
      </c>
      <c r="J14" t="str">
        <f t="shared" si="2"/>
        <v>FET.IUSA_MBOS</v>
      </c>
      <c r="K14" t="str">
        <f t="shared" si="2"/>
        <v>FCPIU.IUSA_MBOS</v>
      </c>
      <c r="L14" t="str">
        <f t="shared" si="2"/>
        <v>FGDP$Q.IUSA_MBOS</v>
      </c>
      <c r="M14" t="str">
        <f t="shared" si="2"/>
        <v>FHPNR.IUSA_MBOS</v>
      </c>
      <c r="N14" t="str">
        <f t="shared" si="2"/>
        <v>FHPNM.IUSA_MBOS</v>
      </c>
      <c r="O14" t="str">
        <f t="shared" si="2"/>
        <v>FHX1.IUSA_MBOS</v>
      </c>
      <c r="P14" t="str">
        <f t="shared" si="2"/>
        <v>FHX1MED.IUSA_MBOS</v>
      </c>
      <c r="Q14" t="str">
        <f t="shared" si="2"/>
        <v/>
      </c>
      <c r="R14" t="str">
        <f t="shared" si="2"/>
        <v/>
      </c>
      <c r="S14" t="str">
        <f t="shared" si="2"/>
        <v/>
      </c>
      <c r="T14" t="str">
        <f t="shared" si="2"/>
        <v/>
      </c>
      <c r="U14" t="str">
        <f t="shared" si="2"/>
        <v/>
      </c>
      <c r="V14" t="str">
        <f t="shared" si="2"/>
        <v/>
      </c>
      <c r="W14" t="str">
        <f t="shared" si="2"/>
        <v/>
      </c>
      <c r="X14" t="str">
        <f t="shared" si="2"/>
        <v/>
      </c>
      <c r="Y14" t="str">
        <f t="shared" si="2"/>
        <v/>
      </c>
      <c r="Z14" t="str">
        <f t="shared" si="2"/>
        <v/>
      </c>
      <c r="AA14" t="str">
        <f t="shared" si="2"/>
        <v/>
      </c>
      <c r="AB14" t="str">
        <f t="shared" si="2"/>
        <v/>
      </c>
      <c r="AC14" t="str">
        <f t="shared" si="2"/>
        <v/>
      </c>
      <c r="AD14" t="str">
        <f t="shared" si="2"/>
        <v/>
      </c>
      <c r="AE14" t="str">
        <f t="shared" si="2"/>
        <v/>
      </c>
      <c r="AF14" t="str">
        <f t="shared" si="2"/>
        <v/>
      </c>
      <c r="AG14" t="str">
        <f t="shared" si="2"/>
        <v/>
      </c>
      <c r="AH14" t="str">
        <f t="shared" si="2"/>
        <v/>
      </c>
      <c r="AI14" t="str">
        <f t="shared" si="2"/>
        <v/>
      </c>
      <c r="AJ14" t="str">
        <f t="shared" si="2"/>
        <v/>
      </c>
      <c r="AK14" t="str">
        <f t="shared" si="2"/>
        <v/>
      </c>
      <c r="AL14" t="str">
        <f t="shared" si="2"/>
        <v/>
      </c>
      <c r="AM14" t="str">
        <f t="shared" si="2"/>
        <v/>
      </c>
      <c r="AN14" t="str">
        <f t="shared" si="2"/>
        <v/>
      </c>
      <c r="AO14" t="str">
        <f t="shared" si="2"/>
        <v/>
      </c>
      <c r="AP14" t="str">
        <f t="shared" si="2"/>
        <v/>
      </c>
      <c r="AQ14" t="str">
        <f t="shared" si="2"/>
        <v/>
      </c>
      <c r="AR14" t="str">
        <f t="shared" si="2"/>
        <v/>
      </c>
      <c r="AS14" t="str">
        <f t="shared" si="2"/>
        <v/>
      </c>
      <c r="AT14" t="str">
        <f t="shared" si="2"/>
        <v/>
      </c>
      <c r="AU14" t="str">
        <f t="shared" si="2"/>
        <v/>
      </c>
      <c r="AV14" t="str">
        <f t="shared" si="2"/>
        <v/>
      </c>
      <c r="AW14" t="str">
        <f t="shared" si="2"/>
        <v/>
      </c>
      <c r="AX14" t="str">
        <f t="shared" si="2"/>
        <v/>
      </c>
      <c r="AY14" t="str">
        <f t="shared" si="2"/>
        <v/>
      </c>
      <c r="AZ14" t="str">
        <f t="shared" si="2"/>
        <v/>
      </c>
      <c r="BA14" s="10" t="str">
        <f t="shared" si="2"/>
        <v/>
      </c>
    </row>
    <row r="15" spans="1:53" x14ac:dyDescent="0.25">
      <c r="A15" s="16">
        <v>11</v>
      </c>
      <c r="B15" s="16" t="str">
        <f>IF(VLOOKUP($A15,'geocodes &amp; mnemonic list'!$A$5:$D$55,2,FALSE)&lt;&gt;"",VLOOKUP($A15,'geocodes &amp; mnemonic list'!$A$5:$D$55,2,FALSE),"")</f>
        <v>New York Metro</v>
      </c>
      <c r="C15" s="16" t="str">
        <f>IF(VLOOKUP($A15,'geocodes &amp; mnemonic list'!$A$5:$E$104,5,FALSE)=0,"",VLOOKUP($A15,'geocodes &amp; mnemonic list'!$A$5:$E$104,5,FALSE))</f>
        <v>IUSA_DMNWY</v>
      </c>
      <c r="D15" s="9" t="str">
        <f t="shared" si="1"/>
        <v>FHHOLDQ.IUSA_DMNWY</v>
      </c>
      <c r="E15" t="str">
        <f t="shared" si="2"/>
        <v>FPOP2024Q.IUSA_DMNWY</v>
      </c>
      <c r="F15" t="str">
        <f t="shared" si="2"/>
        <v>FPOP2529Q.IUSA_DMNWY</v>
      </c>
      <c r="G15" t="str">
        <f t="shared" si="2"/>
        <v>FPOP3034Q.IUSA_DMNWY</v>
      </c>
      <c r="H15" t="str">
        <f t="shared" si="2"/>
        <v>FPOPQ.IUSA_DMNWY</v>
      </c>
      <c r="I15" t="str">
        <f t="shared" si="2"/>
        <v>FYHHMEDQ.IUSA_DMNWY</v>
      </c>
      <c r="J15" t="str">
        <f t="shared" si="2"/>
        <v>FET.IUSA_DMNWY</v>
      </c>
      <c r="K15" t="str">
        <f t="shared" si="2"/>
        <v>FCPIU.IUSA_DMNWY</v>
      </c>
      <c r="L15" t="str">
        <f t="shared" si="2"/>
        <v>FGDP$Q.IUSA_DMNWY</v>
      </c>
      <c r="M15" t="str">
        <f t="shared" si="2"/>
        <v>FHPNR.IUSA_DMNWY</v>
      </c>
      <c r="N15" t="str">
        <f t="shared" si="2"/>
        <v>FHPNM.IUSA_DMNWY</v>
      </c>
      <c r="O15" t="str">
        <f t="shared" si="2"/>
        <v>FHX1.IUSA_DMNWY</v>
      </c>
      <c r="P15" t="str">
        <f t="shared" si="2"/>
        <v>FHX1MED.IUSA_DMNWY</v>
      </c>
      <c r="Q15" t="str">
        <f t="shared" si="2"/>
        <v/>
      </c>
      <c r="R15" t="str">
        <f t="shared" si="2"/>
        <v/>
      </c>
      <c r="S15" t="str">
        <f t="shared" si="2"/>
        <v/>
      </c>
      <c r="T15" t="str">
        <f t="shared" si="2"/>
        <v/>
      </c>
      <c r="U15" t="str">
        <f t="shared" si="2"/>
        <v/>
      </c>
      <c r="V15" t="str">
        <f t="shared" si="2"/>
        <v/>
      </c>
      <c r="W15" t="str">
        <f t="shared" si="2"/>
        <v/>
      </c>
      <c r="X15" t="str">
        <f t="shared" si="2"/>
        <v/>
      </c>
      <c r="Y15" t="str">
        <f t="shared" si="2"/>
        <v/>
      </c>
      <c r="Z15" t="str">
        <f t="shared" si="2"/>
        <v/>
      </c>
      <c r="AA15" t="str">
        <f t="shared" si="2"/>
        <v/>
      </c>
      <c r="AB15" t="str">
        <f t="shared" si="2"/>
        <v/>
      </c>
      <c r="AC15" t="str">
        <f t="shared" si="2"/>
        <v/>
      </c>
      <c r="AD15" t="str">
        <f t="shared" si="2"/>
        <v/>
      </c>
      <c r="AE15" t="str">
        <f t="shared" si="2"/>
        <v/>
      </c>
      <c r="AF15" t="str">
        <f t="shared" si="2"/>
        <v/>
      </c>
      <c r="AG15" t="str">
        <f t="shared" si="2"/>
        <v/>
      </c>
      <c r="AH15" t="str">
        <f t="shared" si="2"/>
        <v/>
      </c>
      <c r="AI15" t="str">
        <f t="shared" si="2"/>
        <v/>
      </c>
      <c r="AJ15" t="str">
        <f t="shared" si="2"/>
        <v/>
      </c>
      <c r="AK15" t="str">
        <f t="shared" si="2"/>
        <v/>
      </c>
      <c r="AL15" t="str">
        <f t="shared" si="2"/>
        <v/>
      </c>
      <c r="AM15" t="str">
        <f t="shared" si="2"/>
        <v/>
      </c>
      <c r="AN15" t="str">
        <f t="shared" ref="E15:BA20" si="3">IF(AND($C15&lt;&gt;"",AN$2&lt;&gt;""),AN$2&amp;"."&amp;$C15,"")</f>
        <v/>
      </c>
      <c r="AO15" t="str">
        <f t="shared" si="3"/>
        <v/>
      </c>
      <c r="AP15" t="str">
        <f t="shared" si="3"/>
        <v/>
      </c>
      <c r="AQ15" t="str">
        <f t="shared" si="3"/>
        <v/>
      </c>
      <c r="AR15" t="str">
        <f t="shared" si="3"/>
        <v/>
      </c>
      <c r="AS15" t="str">
        <f t="shared" si="3"/>
        <v/>
      </c>
      <c r="AT15" t="str">
        <f t="shared" si="3"/>
        <v/>
      </c>
      <c r="AU15" t="str">
        <f t="shared" si="3"/>
        <v/>
      </c>
      <c r="AV15" t="str">
        <f t="shared" si="3"/>
        <v/>
      </c>
      <c r="AW15" t="str">
        <f t="shared" si="3"/>
        <v/>
      </c>
      <c r="AX15" t="str">
        <f t="shared" si="3"/>
        <v/>
      </c>
      <c r="AY15" t="str">
        <f t="shared" si="3"/>
        <v/>
      </c>
      <c r="AZ15" t="str">
        <f t="shared" si="3"/>
        <v/>
      </c>
      <c r="BA15" s="10" t="str">
        <f t="shared" si="3"/>
        <v/>
      </c>
    </row>
    <row r="16" spans="1:53" x14ac:dyDescent="0.25">
      <c r="A16" s="16">
        <v>12</v>
      </c>
      <c r="B16" s="16" t="str">
        <f>IF(VLOOKUP($A16,'geocodes &amp; mnemonic list'!$A$5:$D$55,2,FALSE)&lt;&gt;"",VLOOKUP($A16,'geocodes &amp; mnemonic list'!$A$5:$D$55,2,FALSE),"")</f>
        <v>Northern New Jersey</v>
      </c>
      <c r="C16" s="16" t="str">
        <f>IF(VLOOKUP($A16,'geocodes &amp; mnemonic list'!$A$5:$E$104,5,FALSE)=0,"",VLOOKUP($A16,'geocodes &amp; mnemonic list'!$A$5:$E$104,5,FALSE))</f>
        <v>IUSA_DMNEK</v>
      </c>
      <c r="D16" s="9" t="str">
        <f t="shared" si="1"/>
        <v>FHHOLDQ.IUSA_DMNEK</v>
      </c>
      <c r="E16" t="str">
        <f t="shared" si="3"/>
        <v>FPOP2024Q.IUSA_DMNEK</v>
      </c>
      <c r="F16" t="str">
        <f t="shared" si="3"/>
        <v>FPOP2529Q.IUSA_DMNEK</v>
      </c>
      <c r="G16" t="str">
        <f t="shared" si="3"/>
        <v>FPOP3034Q.IUSA_DMNEK</v>
      </c>
      <c r="H16" t="str">
        <f t="shared" si="3"/>
        <v>FPOPQ.IUSA_DMNEK</v>
      </c>
      <c r="I16" t="str">
        <f t="shared" si="3"/>
        <v>FYHHMEDQ.IUSA_DMNEK</v>
      </c>
      <c r="J16" t="str">
        <f t="shared" si="3"/>
        <v>FET.IUSA_DMNEK</v>
      </c>
      <c r="K16" t="str">
        <f t="shared" si="3"/>
        <v>FCPIU.IUSA_DMNEK</v>
      </c>
      <c r="L16" t="str">
        <f t="shared" si="3"/>
        <v>FGDP$Q.IUSA_DMNEK</v>
      </c>
      <c r="M16" t="str">
        <f t="shared" si="3"/>
        <v>FHPNR.IUSA_DMNEK</v>
      </c>
      <c r="N16" t="str">
        <f t="shared" si="3"/>
        <v>FHPNM.IUSA_DMNEK</v>
      </c>
      <c r="O16" t="str">
        <f t="shared" si="3"/>
        <v>FHX1.IUSA_DMNEK</v>
      </c>
      <c r="P16" t="str">
        <f t="shared" si="3"/>
        <v>FHX1MED.IUSA_DMNEK</v>
      </c>
      <c r="Q16" t="str">
        <f t="shared" si="3"/>
        <v/>
      </c>
      <c r="R16" t="str">
        <f t="shared" si="3"/>
        <v/>
      </c>
      <c r="S16" t="str">
        <f t="shared" si="3"/>
        <v/>
      </c>
      <c r="T16" t="str">
        <f t="shared" si="3"/>
        <v/>
      </c>
      <c r="U16" t="str">
        <f t="shared" si="3"/>
        <v/>
      </c>
      <c r="V16" t="str">
        <f t="shared" si="3"/>
        <v/>
      </c>
      <c r="W16" t="str">
        <f t="shared" si="3"/>
        <v/>
      </c>
      <c r="X16" t="str">
        <f t="shared" si="3"/>
        <v/>
      </c>
      <c r="Y16" t="str">
        <f t="shared" si="3"/>
        <v/>
      </c>
      <c r="Z16" t="str">
        <f t="shared" si="3"/>
        <v/>
      </c>
      <c r="AA16" t="str">
        <f t="shared" si="3"/>
        <v/>
      </c>
      <c r="AB16" t="str">
        <f t="shared" si="3"/>
        <v/>
      </c>
      <c r="AC16" t="str">
        <f t="shared" si="3"/>
        <v/>
      </c>
      <c r="AD16" t="str">
        <f t="shared" si="3"/>
        <v/>
      </c>
      <c r="AE16" t="str">
        <f t="shared" si="3"/>
        <v/>
      </c>
      <c r="AF16" t="str">
        <f t="shared" si="3"/>
        <v/>
      </c>
      <c r="AG16" t="str">
        <f t="shared" si="3"/>
        <v/>
      </c>
      <c r="AH16" t="str">
        <f t="shared" si="3"/>
        <v/>
      </c>
      <c r="AI16" t="str">
        <f t="shared" si="3"/>
        <v/>
      </c>
      <c r="AJ16" t="str">
        <f t="shared" si="3"/>
        <v/>
      </c>
      <c r="AK16" t="str">
        <f t="shared" si="3"/>
        <v/>
      </c>
      <c r="AL16" t="str">
        <f t="shared" si="3"/>
        <v/>
      </c>
      <c r="AM16" t="str">
        <f t="shared" si="3"/>
        <v/>
      </c>
      <c r="AN16" t="str">
        <f t="shared" si="3"/>
        <v/>
      </c>
      <c r="AO16" t="str">
        <f t="shared" si="3"/>
        <v/>
      </c>
      <c r="AP16" t="str">
        <f t="shared" si="3"/>
        <v/>
      </c>
      <c r="AQ16" t="str">
        <f t="shared" si="3"/>
        <v/>
      </c>
      <c r="AR16" t="str">
        <f t="shared" si="3"/>
        <v/>
      </c>
      <c r="AS16" t="str">
        <f t="shared" si="3"/>
        <v/>
      </c>
      <c r="AT16" t="str">
        <f t="shared" si="3"/>
        <v/>
      </c>
      <c r="AU16" t="str">
        <f t="shared" si="3"/>
        <v/>
      </c>
      <c r="AV16" t="str">
        <f t="shared" si="3"/>
        <v/>
      </c>
      <c r="AW16" t="str">
        <f t="shared" si="3"/>
        <v/>
      </c>
      <c r="AX16" t="str">
        <f t="shared" si="3"/>
        <v/>
      </c>
      <c r="AY16" t="str">
        <f t="shared" si="3"/>
        <v/>
      </c>
      <c r="AZ16" t="str">
        <f t="shared" si="3"/>
        <v/>
      </c>
      <c r="BA16" s="10" t="str">
        <f t="shared" si="3"/>
        <v/>
      </c>
    </row>
    <row r="17" spans="1:53" x14ac:dyDescent="0.25">
      <c r="A17" s="16">
        <v>13</v>
      </c>
      <c r="B17" s="16" t="str">
        <f>IF(VLOOKUP($A17,'geocodes &amp; mnemonic list'!$A$5:$D$55,2,FALSE)&lt;&gt;"",VLOOKUP($A17,'geocodes &amp; mnemonic list'!$A$5:$D$55,2,FALSE),"")</f>
        <v>Long Island</v>
      </c>
      <c r="C17" s="16" t="str">
        <f>IF(VLOOKUP($A17,'geocodes &amp; mnemonic list'!$A$5:$E$104,5,FALSE)=0,"",VLOOKUP($A17,'geocodes &amp; mnemonic list'!$A$5:$E$104,5,FALSE))</f>
        <v>IUSA_DMNAS</v>
      </c>
      <c r="D17" s="9" t="str">
        <f t="shared" si="1"/>
        <v>FHHOLDQ.IUSA_DMNAS</v>
      </c>
      <c r="E17" t="str">
        <f t="shared" si="3"/>
        <v>FPOP2024Q.IUSA_DMNAS</v>
      </c>
      <c r="F17" t="str">
        <f t="shared" si="3"/>
        <v>FPOP2529Q.IUSA_DMNAS</v>
      </c>
      <c r="G17" t="str">
        <f t="shared" si="3"/>
        <v>FPOP3034Q.IUSA_DMNAS</v>
      </c>
      <c r="H17" t="str">
        <f t="shared" si="3"/>
        <v>FPOPQ.IUSA_DMNAS</v>
      </c>
      <c r="I17" t="str">
        <f t="shared" si="3"/>
        <v>FYHHMEDQ.IUSA_DMNAS</v>
      </c>
      <c r="J17" t="str">
        <f t="shared" si="3"/>
        <v>FET.IUSA_DMNAS</v>
      </c>
      <c r="K17" t="str">
        <f t="shared" si="3"/>
        <v>FCPIU.IUSA_DMNAS</v>
      </c>
      <c r="L17" t="str">
        <f t="shared" si="3"/>
        <v>FGDP$Q.IUSA_DMNAS</v>
      </c>
      <c r="M17" t="str">
        <f t="shared" si="3"/>
        <v>FHPNR.IUSA_DMNAS</v>
      </c>
      <c r="N17" t="str">
        <f t="shared" si="3"/>
        <v>FHPNM.IUSA_DMNAS</v>
      </c>
      <c r="O17" t="str">
        <f t="shared" si="3"/>
        <v>FHX1.IUSA_DMNAS</v>
      </c>
      <c r="P17" t="str">
        <f t="shared" si="3"/>
        <v>FHX1MED.IUSA_DMNAS</v>
      </c>
      <c r="Q17" t="str">
        <f t="shared" si="3"/>
        <v/>
      </c>
      <c r="R17" t="str">
        <f t="shared" si="3"/>
        <v/>
      </c>
      <c r="S17" t="str">
        <f t="shared" si="3"/>
        <v/>
      </c>
      <c r="T17" t="str">
        <f t="shared" si="3"/>
        <v/>
      </c>
      <c r="U17" t="str">
        <f t="shared" si="3"/>
        <v/>
      </c>
      <c r="V17" t="str">
        <f t="shared" si="3"/>
        <v/>
      </c>
      <c r="W17" t="str">
        <f t="shared" si="3"/>
        <v/>
      </c>
      <c r="X17" t="str">
        <f t="shared" si="3"/>
        <v/>
      </c>
      <c r="Y17" t="str">
        <f t="shared" si="3"/>
        <v/>
      </c>
      <c r="Z17" t="str">
        <f t="shared" si="3"/>
        <v/>
      </c>
      <c r="AA17" t="str">
        <f t="shared" si="3"/>
        <v/>
      </c>
      <c r="AB17" t="str">
        <f t="shared" si="3"/>
        <v/>
      </c>
      <c r="AC17" t="str">
        <f t="shared" si="3"/>
        <v/>
      </c>
      <c r="AD17" t="str">
        <f t="shared" si="3"/>
        <v/>
      </c>
      <c r="AE17" t="str">
        <f t="shared" si="3"/>
        <v/>
      </c>
      <c r="AF17" t="str">
        <f t="shared" si="3"/>
        <v/>
      </c>
      <c r="AG17" t="str">
        <f t="shared" si="3"/>
        <v/>
      </c>
      <c r="AH17" t="str">
        <f t="shared" si="3"/>
        <v/>
      </c>
      <c r="AI17" t="str">
        <f t="shared" si="3"/>
        <v/>
      </c>
      <c r="AJ17" t="str">
        <f t="shared" si="3"/>
        <v/>
      </c>
      <c r="AK17" t="str">
        <f t="shared" si="3"/>
        <v/>
      </c>
      <c r="AL17" t="str">
        <f t="shared" si="3"/>
        <v/>
      </c>
      <c r="AM17" t="str">
        <f t="shared" si="3"/>
        <v/>
      </c>
      <c r="AN17" t="str">
        <f t="shared" si="3"/>
        <v/>
      </c>
      <c r="AO17" t="str">
        <f t="shared" si="3"/>
        <v/>
      </c>
      <c r="AP17" t="str">
        <f t="shared" si="3"/>
        <v/>
      </c>
      <c r="AQ17" t="str">
        <f t="shared" si="3"/>
        <v/>
      </c>
      <c r="AR17" t="str">
        <f t="shared" si="3"/>
        <v/>
      </c>
      <c r="AS17" t="str">
        <f t="shared" si="3"/>
        <v/>
      </c>
      <c r="AT17" t="str">
        <f t="shared" si="3"/>
        <v/>
      </c>
      <c r="AU17" t="str">
        <f t="shared" si="3"/>
        <v/>
      </c>
      <c r="AV17" t="str">
        <f t="shared" si="3"/>
        <v/>
      </c>
      <c r="AW17" t="str">
        <f t="shared" si="3"/>
        <v/>
      </c>
      <c r="AX17" t="str">
        <f t="shared" si="3"/>
        <v/>
      </c>
      <c r="AY17" t="str">
        <f t="shared" si="3"/>
        <v/>
      </c>
      <c r="AZ17" t="str">
        <f t="shared" si="3"/>
        <v/>
      </c>
      <c r="BA17" s="10" t="str">
        <f t="shared" si="3"/>
        <v/>
      </c>
    </row>
    <row r="18" spans="1:53" x14ac:dyDescent="0.25">
      <c r="A18" s="16">
        <v>14</v>
      </c>
      <c r="B18" s="16" t="str">
        <f>IF(VLOOKUP($A18,'geocodes &amp; mnemonic list'!$A$5:$D$55,2,FALSE)&lt;&gt;"",VLOOKUP($A18,'geocodes &amp; mnemonic list'!$A$5:$D$55,2,FALSE),"")</f>
        <v>District of Columbia</v>
      </c>
      <c r="C18" s="16" t="str">
        <f>IF(VLOOKUP($A18,'geocodes &amp; mnemonic list'!$A$5:$E$104,5,FALSE)=0,"",VLOOKUP($A18,'geocodes &amp; mnemonic list'!$A$5:$E$104,5,FALSE))</f>
        <v>IUSA_MWAA</v>
      </c>
      <c r="D18" s="9" t="str">
        <f t="shared" si="1"/>
        <v>FHHOLDQ.IUSA_MWAA</v>
      </c>
      <c r="E18" t="str">
        <f t="shared" si="3"/>
        <v>FPOP2024Q.IUSA_MWAA</v>
      </c>
      <c r="F18" t="str">
        <f t="shared" si="3"/>
        <v>FPOP2529Q.IUSA_MWAA</v>
      </c>
      <c r="G18" t="str">
        <f t="shared" si="3"/>
        <v>FPOP3034Q.IUSA_MWAA</v>
      </c>
      <c r="H18" t="str">
        <f t="shared" si="3"/>
        <v>FPOPQ.IUSA_MWAA</v>
      </c>
      <c r="I18" t="str">
        <f t="shared" si="3"/>
        <v>FYHHMEDQ.IUSA_MWAA</v>
      </c>
      <c r="J18" t="str">
        <f t="shared" si="3"/>
        <v>FET.IUSA_MWAA</v>
      </c>
      <c r="K18" t="str">
        <f t="shared" si="3"/>
        <v>FCPIU.IUSA_MWAA</v>
      </c>
      <c r="L18" t="str">
        <f t="shared" si="3"/>
        <v>FGDP$Q.IUSA_MWAA</v>
      </c>
      <c r="M18" t="str">
        <f t="shared" si="3"/>
        <v>FHPNR.IUSA_MWAA</v>
      </c>
      <c r="N18" t="str">
        <f t="shared" si="3"/>
        <v>FHPNM.IUSA_MWAA</v>
      </c>
      <c r="O18" t="str">
        <f t="shared" si="3"/>
        <v>FHX1.IUSA_MWAA</v>
      </c>
      <c r="P18" t="str">
        <f t="shared" si="3"/>
        <v>FHX1MED.IUSA_MWAA</v>
      </c>
      <c r="Q18" t="str">
        <f t="shared" si="3"/>
        <v/>
      </c>
      <c r="R18" t="str">
        <f t="shared" si="3"/>
        <v/>
      </c>
      <c r="S18" t="str">
        <f t="shared" si="3"/>
        <v/>
      </c>
      <c r="T18" t="str">
        <f t="shared" si="3"/>
        <v/>
      </c>
      <c r="U18" t="str">
        <f t="shared" si="3"/>
        <v/>
      </c>
      <c r="V18" t="str">
        <f t="shared" si="3"/>
        <v/>
      </c>
      <c r="W18" t="str">
        <f t="shared" si="3"/>
        <v/>
      </c>
      <c r="X18" t="str">
        <f t="shared" si="3"/>
        <v/>
      </c>
      <c r="Y18" t="str">
        <f t="shared" si="3"/>
        <v/>
      </c>
      <c r="Z18" t="str">
        <f t="shared" si="3"/>
        <v/>
      </c>
      <c r="AA18" t="str">
        <f t="shared" si="3"/>
        <v/>
      </c>
      <c r="AB18" t="str">
        <f t="shared" si="3"/>
        <v/>
      </c>
      <c r="AC18" t="str">
        <f t="shared" si="3"/>
        <v/>
      </c>
      <c r="AD18" t="str">
        <f t="shared" si="3"/>
        <v/>
      </c>
      <c r="AE18" t="str">
        <f t="shared" si="3"/>
        <v/>
      </c>
      <c r="AF18" t="str">
        <f t="shared" si="3"/>
        <v/>
      </c>
      <c r="AG18" t="str">
        <f t="shared" si="3"/>
        <v/>
      </c>
      <c r="AH18" t="str">
        <f t="shared" si="3"/>
        <v/>
      </c>
      <c r="AI18" t="str">
        <f t="shared" si="3"/>
        <v/>
      </c>
      <c r="AJ18" t="str">
        <f t="shared" si="3"/>
        <v/>
      </c>
      <c r="AK18" t="str">
        <f t="shared" si="3"/>
        <v/>
      </c>
      <c r="AL18" t="str">
        <f t="shared" si="3"/>
        <v/>
      </c>
      <c r="AM18" t="str">
        <f t="shared" si="3"/>
        <v/>
      </c>
      <c r="AN18" t="str">
        <f t="shared" si="3"/>
        <v/>
      </c>
      <c r="AO18" t="str">
        <f t="shared" si="3"/>
        <v/>
      </c>
      <c r="AP18" t="str">
        <f t="shared" si="3"/>
        <v/>
      </c>
      <c r="AQ18" t="str">
        <f t="shared" si="3"/>
        <v/>
      </c>
      <c r="AR18" t="str">
        <f t="shared" si="3"/>
        <v/>
      </c>
      <c r="AS18" t="str">
        <f t="shared" si="3"/>
        <v/>
      </c>
      <c r="AT18" t="str">
        <f t="shared" si="3"/>
        <v/>
      </c>
      <c r="AU18" t="str">
        <f t="shared" si="3"/>
        <v/>
      </c>
      <c r="AV18" t="str">
        <f t="shared" si="3"/>
        <v/>
      </c>
      <c r="AW18" t="str">
        <f t="shared" si="3"/>
        <v/>
      </c>
      <c r="AX18" t="str">
        <f t="shared" si="3"/>
        <v/>
      </c>
      <c r="AY18" t="str">
        <f t="shared" si="3"/>
        <v/>
      </c>
      <c r="AZ18" t="str">
        <f t="shared" si="3"/>
        <v/>
      </c>
      <c r="BA18" s="10" t="str">
        <f t="shared" si="3"/>
        <v/>
      </c>
    </row>
    <row r="19" spans="1:53" x14ac:dyDescent="0.25">
      <c r="A19" s="16">
        <v>15</v>
      </c>
      <c r="B19" s="16" t="str">
        <f>IF(VLOOKUP($A19,'geocodes &amp; mnemonic list'!$A$5:$D$55,2,FALSE)&lt;&gt;"",VLOOKUP($A19,'geocodes &amp; mnemonic list'!$A$5:$D$55,2,FALSE),"")</f>
        <v>Atlanta</v>
      </c>
      <c r="C19" s="16" t="str">
        <f>IF(VLOOKUP($A19,'geocodes &amp; mnemonic list'!$A$5:$E$104,5,FALSE)=0,"",VLOOKUP($A19,'geocodes &amp; mnemonic list'!$A$5:$E$104,5,FALSE))</f>
        <v>IUSA_MATS</v>
      </c>
      <c r="D19" s="9" t="str">
        <f t="shared" si="1"/>
        <v>FHHOLDQ.IUSA_MATS</v>
      </c>
      <c r="E19" t="str">
        <f t="shared" si="3"/>
        <v>FPOP2024Q.IUSA_MATS</v>
      </c>
      <c r="F19" t="str">
        <f t="shared" si="3"/>
        <v>FPOP2529Q.IUSA_MATS</v>
      </c>
      <c r="G19" t="str">
        <f t="shared" si="3"/>
        <v>FPOP3034Q.IUSA_MATS</v>
      </c>
      <c r="H19" t="str">
        <f t="shared" si="3"/>
        <v>FPOPQ.IUSA_MATS</v>
      </c>
      <c r="I19" t="str">
        <f t="shared" si="3"/>
        <v>FYHHMEDQ.IUSA_MATS</v>
      </c>
      <c r="J19" t="str">
        <f t="shared" si="3"/>
        <v>FET.IUSA_MATS</v>
      </c>
      <c r="K19" t="str">
        <f t="shared" si="3"/>
        <v>FCPIU.IUSA_MATS</v>
      </c>
      <c r="L19" t="str">
        <f t="shared" si="3"/>
        <v>FGDP$Q.IUSA_MATS</v>
      </c>
      <c r="M19" t="str">
        <f t="shared" si="3"/>
        <v>FHPNR.IUSA_MATS</v>
      </c>
      <c r="N19" t="str">
        <f t="shared" si="3"/>
        <v>FHPNM.IUSA_MATS</v>
      </c>
      <c r="O19" t="str">
        <f t="shared" si="3"/>
        <v>FHX1.IUSA_MATS</v>
      </c>
      <c r="P19" t="str">
        <f t="shared" si="3"/>
        <v>FHX1MED.IUSA_MATS</v>
      </c>
      <c r="Q19" t="str">
        <f t="shared" si="3"/>
        <v/>
      </c>
      <c r="R19" t="str">
        <f t="shared" si="3"/>
        <v/>
      </c>
      <c r="S19" t="str">
        <f t="shared" si="3"/>
        <v/>
      </c>
      <c r="T19" t="str">
        <f t="shared" si="3"/>
        <v/>
      </c>
      <c r="U19" t="str">
        <f t="shared" si="3"/>
        <v/>
      </c>
      <c r="V19" t="str">
        <f t="shared" si="3"/>
        <v/>
      </c>
      <c r="W19" t="str">
        <f t="shared" si="3"/>
        <v/>
      </c>
      <c r="X19" t="str">
        <f t="shared" si="3"/>
        <v/>
      </c>
      <c r="Y19" t="str">
        <f t="shared" si="3"/>
        <v/>
      </c>
      <c r="Z19" t="str">
        <f t="shared" si="3"/>
        <v/>
      </c>
      <c r="AA19" t="str">
        <f t="shared" si="3"/>
        <v/>
      </c>
      <c r="AB19" t="str">
        <f t="shared" si="3"/>
        <v/>
      </c>
      <c r="AC19" t="str">
        <f t="shared" si="3"/>
        <v/>
      </c>
      <c r="AD19" t="str">
        <f t="shared" si="3"/>
        <v/>
      </c>
      <c r="AE19" t="str">
        <f t="shared" si="3"/>
        <v/>
      </c>
      <c r="AF19" t="str">
        <f t="shared" si="3"/>
        <v/>
      </c>
      <c r="AG19" t="str">
        <f t="shared" si="3"/>
        <v/>
      </c>
      <c r="AH19" t="str">
        <f t="shared" si="3"/>
        <v/>
      </c>
      <c r="AI19" t="str">
        <f t="shared" si="3"/>
        <v/>
      </c>
      <c r="AJ19" t="str">
        <f t="shared" si="3"/>
        <v/>
      </c>
      <c r="AK19" t="str">
        <f t="shared" si="3"/>
        <v/>
      </c>
      <c r="AL19" t="str">
        <f t="shared" si="3"/>
        <v/>
      </c>
      <c r="AM19" t="str">
        <f t="shared" si="3"/>
        <v/>
      </c>
      <c r="AN19" t="str">
        <f t="shared" si="3"/>
        <v/>
      </c>
      <c r="AO19" t="str">
        <f t="shared" si="3"/>
        <v/>
      </c>
      <c r="AP19" t="str">
        <f t="shared" si="3"/>
        <v/>
      </c>
      <c r="AQ19" t="str">
        <f t="shared" si="3"/>
        <v/>
      </c>
      <c r="AR19" t="str">
        <f t="shared" si="3"/>
        <v/>
      </c>
      <c r="AS19" t="str">
        <f t="shared" si="3"/>
        <v/>
      </c>
      <c r="AT19" t="str">
        <f t="shared" si="3"/>
        <v/>
      </c>
      <c r="AU19" t="str">
        <f t="shared" si="3"/>
        <v/>
      </c>
      <c r="AV19" t="str">
        <f t="shared" si="3"/>
        <v/>
      </c>
      <c r="AW19" t="str">
        <f t="shared" si="3"/>
        <v/>
      </c>
      <c r="AX19" t="str">
        <f t="shared" si="3"/>
        <v/>
      </c>
      <c r="AY19" t="str">
        <f t="shared" si="3"/>
        <v/>
      </c>
      <c r="AZ19" t="str">
        <f t="shared" si="3"/>
        <v/>
      </c>
      <c r="BA19" s="10" t="str">
        <f t="shared" si="3"/>
        <v/>
      </c>
    </row>
    <row r="20" spans="1:53" x14ac:dyDescent="0.25">
      <c r="A20" s="16">
        <v>16</v>
      </c>
      <c r="B20" s="16" t="str">
        <f>IF(VLOOKUP($A20,'geocodes &amp; mnemonic list'!$A$5:$D$55,2,FALSE)&lt;&gt;"",VLOOKUP($A20,'geocodes &amp; mnemonic list'!$A$5:$D$55,2,FALSE),"")</f>
        <v>Austin</v>
      </c>
      <c r="C20" s="16" t="str">
        <f>IF(VLOOKUP($A20,'geocodes &amp; mnemonic list'!$A$5:$E$104,5,FALSE)=0,"",VLOOKUP($A20,'geocodes &amp; mnemonic list'!$A$5:$E$104,5,FALSE))</f>
        <v>IUSA_MAUS</v>
      </c>
      <c r="D20" s="9" t="str">
        <f t="shared" si="1"/>
        <v>FHHOLDQ.IUSA_MAUS</v>
      </c>
      <c r="E20" t="str">
        <f t="shared" si="3"/>
        <v>FPOP2024Q.IUSA_MAUS</v>
      </c>
      <c r="F20" t="str">
        <f t="shared" si="3"/>
        <v>FPOP2529Q.IUSA_MAUS</v>
      </c>
      <c r="G20" t="str">
        <f t="shared" si="3"/>
        <v>FPOP3034Q.IUSA_MAUS</v>
      </c>
      <c r="H20" t="str">
        <f t="shared" si="3"/>
        <v>FPOPQ.IUSA_MAUS</v>
      </c>
      <c r="I20" t="str">
        <f t="shared" si="3"/>
        <v>FYHHMEDQ.IUSA_MAUS</v>
      </c>
      <c r="J20" t="str">
        <f t="shared" si="3"/>
        <v>FET.IUSA_MAUS</v>
      </c>
      <c r="K20" t="str">
        <f t="shared" si="3"/>
        <v>FCPIU.IUSA_MAUS</v>
      </c>
      <c r="L20" t="str">
        <f t="shared" si="3"/>
        <v>FGDP$Q.IUSA_MAUS</v>
      </c>
      <c r="M20" t="str">
        <f t="shared" si="3"/>
        <v>FHPNR.IUSA_MAUS</v>
      </c>
      <c r="N20" t="str">
        <f t="shared" si="3"/>
        <v>FHPNM.IUSA_MAUS</v>
      </c>
      <c r="O20" t="str">
        <f t="shared" si="3"/>
        <v>FHX1.IUSA_MAUS</v>
      </c>
      <c r="P20" t="str">
        <f t="shared" si="3"/>
        <v>FHX1MED.IUSA_MAUS</v>
      </c>
      <c r="Q20" t="str">
        <f t="shared" si="3"/>
        <v/>
      </c>
      <c r="R20" t="str">
        <f t="shared" si="3"/>
        <v/>
      </c>
      <c r="S20" t="str">
        <f t="shared" si="3"/>
        <v/>
      </c>
      <c r="T20" t="str">
        <f t="shared" si="3"/>
        <v/>
      </c>
      <c r="U20" t="str">
        <f t="shared" si="3"/>
        <v/>
      </c>
      <c r="V20" t="str">
        <f t="shared" si="3"/>
        <v/>
      </c>
      <c r="W20" t="str">
        <f t="shared" si="3"/>
        <v/>
      </c>
      <c r="X20" t="str">
        <f t="shared" si="3"/>
        <v/>
      </c>
      <c r="Y20" t="str">
        <f t="shared" si="3"/>
        <v/>
      </c>
      <c r="Z20" t="str">
        <f t="shared" si="3"/>
        <v/>
      </c>
      <c r="AA20" t="str">
        <f t="shared" si="3"/>
        <v/>
      </c>
      <c r="AB20" t="str">
        <f t="shared" si="3"/>
        <v/>
      </c>
      <c r="AC20" t="str">
        <f t="shared" si="3"/>
        <v/>
      </c>
      <c r="AD20" t="str">
        <f t="shared" si="3"/>
        <v/>
      </c>
      <c r="AE20" t="str">
        <f t="shared" si="3"/>
        <v/>
      </c>
      <c r="AF20" t="str">
        <f t="shared" si="3"/>
        <v/>
      </c>
      <c r="AG20" t="str">
        <f t="shared" si="3"/>
        <v/>
      </c>
      <c r="AH20" t="str">
        <f t="shared" si="3"/>
        <v/>
      </c>
      <c r="AI20" t="str">
        <f t="shared" si="3"/>
        <v/>
      </c>
      <c r="AJ20" t="str">
        <f t="shared" si="3"/>
        <v/>
      </c>
      <c r="AK20" t="str">
        <f t="shared" si="3"/>
        <v/>
      </c>
      <c r="AL20" t="str">
        <f t="shared" si="3"/>
        <v/>
      </c>
      <c r="AM20" t="str">
        <f t="shared" si="3"/>
        <v/>
      </c>
      <c r="AN20" t="str">
        <f t="shared" si="3"/>
        <v/>
      </c>
      <c r="AO20" t="str">
        <f t="shared" si="3"/>
        <v/>
      </c>
      <c r="AP20" t="str">
        <f t="shared" si="3"/>
        <v/>
      </c>
      <c r="AQ20" t="str">
        <f t="shared" si="3"/>
        <v/>
      </c>
      <c r="AR20" t="str">
        <f t="shared" si="3"/>
        <v/>
      </c>
      <c r="AS20" t="str">
        <f t="shared" si="3"/>
        <v/>
      </c>
      <c r="AT20" t="str">
        <f t="shared" si="3"/>
        <v/>
      </c>
      <c r="AU20" t="str">
        <f t="shared" si="3"/>
        <v/>
      </c>
      <c r="AV20" t="str">
        <f t="shared" si="3"/>
        <v/>
      </c>
      <c r="AW20" t="str">
        <f t="shared" si="3"/>
        <v/>
      </c>
      <c r="AX20" t="str">
        <f t="shared" ref="E20:BA26" si="4">IF(AND($C20&lt;&gt;"",AX$2&lt;&gt;""),AX$2&amp;"."&amp;$C20,"")</f>
        <v/>
      </c>
      <c r="AY20" t="str">
        <f t="shared" si="4"/>
        <v/>
      </c>
      <c r="AZ20" t="str">
        <f t="shared" si="4"/>
        <v/>
      </c>
      <c r="BA20" s="10" t="str">
        <f t="shared" si="4"/>
        <v/>
      </c>
    </row>
    <row r="21" spans="1:53" x14ac:dyDescent="0.25">
      <c r="A21" s="16">
        <v>17</v>
      </c>
      <c r="B21" s="16" t="str">
        <f>IF(VLOOKUP($A21,'geocodes &amp; mnemonic list'!$A$5:$D$55,2,FALSE)&lt;&gt;"",VLOOKUP($A21,'geocodes &amp; mnemonic list'!$A$5:$D$55,2,FALSE),"")</f>
        <v>Central New Jersey</v>
      </c>
      <c r="C21" s="16" t="str">
        <f>IF(VLOOKUP($A21,'geocodes &amp; mnemonic list'!$A$5:$E$104,5,FALSE)=0,"",VLOOKUP($A21,'geocodes &amp; mnemonic list'!$A$5:$E$104,5,FALSE))</f>
        <v>IUSA_DMLNB</v>
      </c>
      <c r="D21" s="9" t="str">
        <f t="shared" si="1"/>
        <v>FHHOLDQ.IUSA_DMLNB</v>
      </c>
      <c r="E21" t="str">
        <f t="shared" si="4"/>
        <v>FPOP2024Q.IUSA_DMLNB</v>
      </c>
      <c r="F21" t="str">
        <f t="shared" si="4"/>
        <v>FPOP2529Q.IUSA_DMLNB</v>
      </c>
      <c r="G21" t="str">
        <f t="shared" si="4"/>
        <v>FPOP3034Q.IUSA_DMLNB</v>
      </c>
      <c r="H21" t="str">
        <f t="shared" si="4"/>
        <v>FPOPQ.IUSA_DMLNB</v>
      </c>
      <c r="I21" t="str">
        <f t="shared" si="4"/>
        <v>FYHHMEDQ.IUSA_DMLNB</v>
      </c>
      <c r="J21" t="str">
        <f t="shared" si="4"/>
        <v>FET.IUSA_DMLNB</v>
      </c>
      <c r="K21" t="str">
        <f t="shared" si="4"/>
        <v>FCPIU.IUSA_DMLNB</v>
      </c>
      <c r="L21" t="str">
        <f t="shared" si="4"/>
        <v>FGDP$Q.IUSA_DMLNB</v>
      </c>
      <c r="M21" t="str">
        <f t="shared" si="4"/>
        <v>FHPNR.IUSA_DMLNB</v>
      </c>
      <c r="N21" t="str">
        <f t="shared" si="4"/>
        <v>FHPNM.IUSA_DMLNB</v>
      </c>
      <c r="O21" t="str">
        <f t="shared" si="4"/>
        <v>FHX1.IUSA_DMLNB</v>
      </c>
      <c r="P21" t="str">
        <f t="shared" si="4"/>
        <v>FHX1MED.IUSA_DMLNB</v>
      </c>
      <c r="Q21" t="str">
        <f t="shared" si="4"/>
        <v/>
      </c>
      <c r="R21" t="str">
        <f t="shared" si="4"/>
        <v/>
      </c>
      <c r="S21" t="str">
        <f t="shared" si="4"/>
        <v/>
      </c>
      <c r="T21" t="str">
        <f t="shared" si="4"/>
        <v/>
      </c>
      <c r="U21" t="str">
        <f t="shared" si="4"/>
        <v/>
      </c>
      <c r="V21" t="str">
        <f t="shared" si="4"/>
        <v/>
      </c>
      <c r="W21" t="str">
        <f t="shared" si="4"/>
        <v/>
      </c>
      <c r="X21" t="str">
        <f t="shared" si="4"/>
        <v/>
      </c>
      <c r="Y21" t="str">
        <f t="shared" si="4"/>
        <v/>
      </c>
      <c r="Z21" t="str">
        <f t="shared" si="4"/>
        <v/>
      </c>
      <c r="AA21" t="str">
        <f t="shared" si="4"/>
        <v/>
      </c>
      <c r="AB21" t="str">
        <f t="shared" si="4"/>
        <v/>
      </c>
      <c r="AC21" t="str">
        <f t="shared" si="4"/>
        <v/>
      </c>
      <c r="AD21" t="str">
        <f t="shared" si="4"/>
        <v/>
      </c>
      <c r="AE21" t="str">
        <f t="shared" si="4"/>
        <v/>
      </c>
      <c r="AF21" t="str">
        <f t="shared" si="4"/>
        <v/>
      </c>
      <c r="AG21" t="str">
        <f t="shared" si="4"/>
        <v/>
      </c>
      <c r="AH21" t="str">
        <f t="shared" si="4"/>
        <v/>
      </c>
      <c r="AI21" t="str">
        <f t="shared" si="4"/>
        <v/>
      </c>
      <c r="AJ21" t="str">
        <f t="shared" si="4"/>
        <v/>
      </c>
      <c r="AK21" t="str">
        <f t="shared" si="4"/>
        <v/>
      </c>
      <c r="AL21" t="str">
        <f t="shared" si="4"/>
        <v/>
      </c>
      <c r="AM21" t="str">
        <f t="shared" si="4"/>
        <v/>
      </c>
      <c r="AN21" t="str">
        <f t="shared" si="4"/>
        <v/>
      </c>
      <c r="AO21" t="str">
        <f t="shared" si="4"/>
        <v/>
      </c>
      <c r="AP21" t="str">
        <f t="shared" si="4"/>
        <v/>
      </c>
      <c r="AQ21" t="str">
        <f t="shared" si="4"/>
        <v/>
      </c>
      <c r="AR21" t="str">
        <f t="shared" si="4"/>
        <v/>
      </c>
      <c r="AS21" t="str">
        <f t="shared" si="4"/>
        <v/>
      </c>
      <c r="AT21" t="str">
        <f t="shared" si="4"/>
        <v/>
      </c>
      <c r="AU21" t="str">
        <f t="shared" si="4"/>
        <v/>
      </c>
      <c r="AV21" t="str">
        <f t="shared" si="4"/>
        <v/>
      </c>
      <c r="AW21" t="str">
        <f t="shared" si="4"/>
        <v/>
      </c>
      <c r="AX21" t="str">
        <f t="shared" si="4"/>
        <v/>
      </c>
      <c r="AY21" t="str">
        <f t="shared" si="4"/>
        <v/>
      </c>
      <c r="AZ21" t="str">
        <f t="shared" si="4"/>
        <v/>
      </c>
      <c r="BA21" s="10" t="str">
        <f t="shared" si="4"/>
        <v/>
      </c>
    </row>
    <row r="22" spans="1:53" x14ac:dyDescent="0.25">
      <c r="A22" s="16">
        <v>18</v>
      </c>
      <c r="B22" s="16" t="str">
        <f>IF(VLOOKUP($A22,'geocodes &amp; mnemonic list'!$A$5:$D$55,2,FALSE)&lt;&gt;"",VLOOKUP($A22,'geocodes &amp; mnemonic list'!$A$5:$D$55,2,FALSE),"")</f>
        <v>Charleston</v>
      </c>
      <c r="C22" s="16" t="str">
        <f>IF(VLOOKUP($A22,'geocodes &amp; mnemonic list'!$A$5:$E$104,5,FALSE)=0,"",VLOOKUP($A22,'geocodes &amp; mnemonic list'!$A$5:$E$104,5,FALSE))</f>
        <v>IUSA_MCHS</v>
      </c>
      <c r="D22" s="9" t="str">
        <f t="shared" si="1"/>
        <v>FHHOLDQ.IUSA_MCHS</v>
      </c>
      <c r="E22" t="str">
        <f t="shared" si="4"/>
        <v>FPOP2024Q.IUSA_MCHS</v>
      </c>
      <c r="F22" t="str">
        <f t="shared" si="4"/>
        <v>FPOP2529Q.IUSA_MCHS</v>
      </c>
      <c r="G22" t="str">
        <f t="shared" si="4"/>
        <v>FPOP3034Q.IUSA_MCHS</v>
      </c>
      <c r="H22" t="str">
        <f t="shared" si="4"/>
        <v>FPOPQ.IUSA_MCHS</v>
      </c>
      <c r="I22" t="str">
        <f t="shared" si="4"/>
        <v>FYHHMEDQ.IUSA_MCHS</v>
      </c>
      <c r="J22" t="str">
        <f t="shared" si="4"/>
        <v>FET.IUSA_MCHS</v>
      </c>
      <c r="K22" t="str">
        <f t="shared" si="4"/>
        <v>FCPIU.IUSA_MCHS</v>
      </c>
      <c r="L22" t="str">
        <f t="shared" si="4"/>
        <v>FGDP$Q.IUSA_MCHS</v>
      </c>
      <c r="M22" t="str">
        <f t="shared" si="4"/>
        <v>FHPNR.IUSA_MCHS</v>
      </c>
      <c r="N22" t="str">
        <f t="shared" si="4"/>
        <v>FHPNM.IUSA_MCHS</v>
      </c>
      <c r="O22" t="str">
        <f t="shared" si="4"/>
        <v>FHX1.IUSA_MCHS</v>
      </c>
      <c r="P22" t="str">
        <f t="shared" si="4"/>
        <v>FHX1MED.IUSA_MCHS</v>
      </c>
      <c r="Q22" t="str">
        <f t="shared" si="4"/>
        <v/>
      </c>
      <c r="R22" t="str">
        <f t="shared" si="4"/>
        <v/>
      </c>
      <c r="S22" t="str">
        <f t="shared" si="4"/>
        <v/>
      </c>
      <c r="T22" t="str">
        <f t="shared" si="4"/>
        <v/>
      </c>
      <c r="U22" t="str">
        <f t="shared" si="4"/>
        <v/>
      </c>
      <c r="V22" t="str">
        <f t="shared" si="4"/>
        <v/>
      </c>
      <c r="W22" t="str">
        <f t="shared" si="4"/>
        <v/>
      </c>
      <c r="X22" t="str">
        <f t="shared" si="4"/>
        <v/>
      </c>
      <c r="Y22" t="str">
        <f t="shared" si="4"/>
        <v/>
      </c>
      <c r="Z22" t="str">
        <f t="shared" si="4"/>
        <v/>
      </c>
      <c r="AA22" t="str">
        <f t="shared" si="4"/>
        <v/>
      </c>
      <c r="AB22" t="str">
        <f t="shared" si="4"/>
        <v/>
      </c>
      <c r="AC22" t="str">
        <f t="shared" si="4"/>
        <v/>
      </c>
      <c r="AD22" t="str">
        <f t="shared" si="4"/>
        <v/>
      </c>
      <c r="AE22" t="str">
        <f t="shared" si="4"/>
        <v/>
      </c>
      <c r="AF22" t="str">
        <f t="shared" si="4"/>
        <v/>
      </c>
      <c r="AG22" t="str">
        <f t="shared" si="4"/>
        <v/>
      </c>
      <c r="AH22" t="str">
        <f t="shared" si="4"/>
        <v/>
      </c>
      <c r="AI22" t="str">
        <f t="shared" si="4"/>
        <v/>
      </c>
      <c r="AJ22" t="str">
        <f t="shared" si="4"/>
        <v/>
      </c>
      <c r="AK22" t="str">
        <f t="shared" si="4"/>
        <v/>
      </c>
      <c r="AL22" t="str">
        <f t="shared" si="4"/>
        <v/>
      </c>
      <c r="AM22" t="str">
        <f t="shared" si="4"/>
        <v/>
      </c>
      <c r="AN22" t="str">
        <f t="shared" si="4"/>
        <v/>
      </c>
      <c r="AO22" t="str">
        <f t="shared" si="4"/>
        <v/>
      </c>
      <c r="AP22" t="str">
        <f t="shared" si="4"/>
        <v/>
      </c>
      <c r="AQ22" t="str">
        <f t="shared" si="4"/>
        <v/>
      </c>
      <c r="AR22" t="str">
        <f t="shared" si="4"/>
        <v/>
      </c>
      <c r="AS22" t="str">
        <f t="shared" si="4"/>
        <v/>
      </c>
      <c r="AT22" t="str">
        <f t="shared" si="4"/>
        <v/>
      </c>
      <c r="AU22" t="str">
        <f t="shared" si="4"/>
        <v/>
      </c>
      <c r="AV22" t="str">
        <f t="shared" si="4"/>
        <v/>
      </c>
      <c r="AW22" t="str">
        <f t="shared" si="4"/>
        <v/>
      </c>
      <c r="AX22" t="str">
        <f t="shared" si="4"/>
        <v/>
      </c>
      <c r="AY22" t="str">
        <f t="shared" si="4"/>
        <v/>
      </c>
      <c r="AZ22" t="str">
        <f t="shared" si="4"/>
        <v/>
      </c>
      <c r="BA22" s="10" t="str">
        <f t="shared" si="4"/>
        <v/>
      </c>
    </row>
    <row r="23" spans="1:53" x14ac:dyDescent="0.25">
      <c r="A23" s="16">
        <v>19</v>
      </c>
      <c r="B23" s="16" t="str">
        <f>IF(VLOOKUP($A23,'geocodes &amp; mnemonic list'!$A$5:$D$55,2,FALSE)&lt;&gt;"",VLOOKUP($A23,'geocodes &amp; mnemonic list'!$A$5:$D$55,2,FALSE),"")</f>
        <v>Charlotte</v>
      </c>
      <c r="C23" s="16" t="str">
        <f>IF(VLOOKUP($A23,'geocodes &amp; mnemonic list'!$A$5:$E$104,5,FALSE)=0,"",VLOOKUP($A23,'geocodes &amp; mnemonic list'!$A$5:$E$104,5,FALSE))</f>
        <v>IUSA_MCLT</v>
      </c>
      <c r="D23" s="9" t="str">
        <f t="shared" si="1"/>
        <v>FHHOLDQ.IUSA_MCLT</v>
      </c>
      <c r="E23" t="str">
        <f t="shared" si="4"/>
        <v>FPOP2024Q.IUSA_MCLT</v>
      </c>
      <c r="F23" t="str">
        <f t="shared" si="4"/>
        <v>FPOP2529Q.IUSA_MCLT</v>
      </c>
      <c r="G23" t="str">
        <f t="shared" si="4"/>
        <v>FPOP3034Q.IUSA_MCLT</v>
      </c>
      <c r="H23" t="str">
        <f t="shared" si="4"/>
        <v>FPOPQ.IUSA_MCLT</v>
      </c>
      <c r="I23" t="str">
        <f t="shared" si="4"/>
        <v>FYHHMEDQ.IUSA_MCLT</v>
      </c>
      <c r="J23" t="str">
        <f t="shared" si="4"/>
        <v>FET.IUSA_MCLT</v>
      </c>
      <c r="K23" t="str">
        <f t="shared" si="4"/>
        <v>FCPIU.IUSA_MCLT</v>
      </c>
      <c r="L23" t="str">
        <f t="shared" si="4"/>
        <v>FGDP$Q.IUSA_MCLT</v>
      </c>
      <c r="M23" t="str">
        <f t="shared" si="4"/>
        <v>FHPNR.IUSA_MCLT</v>
      </c>
      <c r="N23" t="str">
        <f t="shared" si="4"/>
        <v>FHPNM.IUSA_MCLT</v>
      </c>
      <c r="O23" t="str">
        <f t="shared" si="4"/>
        <v>FHX1.IUSA_MCLT</v>
      </c>
      <c r="P23" t="str">
        <f t="shared" si="4"/>
        <v>FHX1MED.IUSA_MCLT</v>
      </c>
      <c r="Q23" t="str">
        <f t="shared" si="4"/>
        <v/>
      </c>
      <c r="R23" t="str">
        <f t="shared" si="4"/>
        <v/>
      </c>
      <c r="S23" t="str">
        <f t="shared" si="4"/>
        <v/>
      </c>
      <c r="T23" t="str">
        <f t="shared" si="4"/>
        <v/>
      </c>
      <c r="U23" t="str">
        <f t="shared" si="4"/>
        <v/>
      </c>
      <c r="V23" t="str">
        <f t="shared" si="4"/>
        <v/>
      </c>
      <c r="W23" t="str">
        <f t="shared" si="4"/>
        <v/>
      </c>
      <c r="X23" t="str">
        <f t="shared" si="4"/>
        <v/>
      </c>
      <c r="Y23" t="str">
        <f t="shared" si="4"/>
        <v/>
      </c>
      <c r="Z23" t="str">
        <f t="shared" si="4"/>
        <v/>
      </c>
      <c r="AA23" t="str">
        <f t="shared" si="4"/>
        <v/>
      </c>
      <c r="AB23" t="str">
        <f t="shared" si="4"/>
        <v/>
      </c>
      <c r="AC23" t="str">
        <f t="shared" si="4"/>
        <v/>
      </c>
      <c r="AD23" t="str">
        <f t="shared" si="4"/>
        <v/>
      </c>
      <c r="AE23" t="str">
        <f t="shared" si="4"/>
        <v/>
      </c>
      <c r="AF23" t="str">
        <f t="shared" si="4"/>
        <v/>
      </c>
      <c r="AG23" t="str">
        <f t="shared" si="4"/>
        <v/>
      </c>
      <c r="AH23" t="str">
        <f t="shared" si="4"/>
        <v/>
      </c>
      <c r="AI23" t="str">
        <f t="shared" si="4"/>
        <v/>
      </c>
      <c r="AJ23" t="str">
        <f t="shared" si="4"/>
        <v/>
      </c>
      <c r="AK23" t="str">
        <f t="shared" si="4"/>
        <v/>
      </c>
      <c r="AL23" t="str">
        <f t="shared" si="4"/>
        <v/>
      </c>
      <c r="AM23" t="str">
        <f t="shared" si="4"/>
        <v/>
      </c>
      <c r="AN23" t="str">
        <f t="shared" si="4"/>
        <v/>
      </c>
      <c r="AO23" t="str">
        <f t="shared" si="4"/>
        <v/>
      </c>
      <c r="AP23" t="str">
        <f t="shared" si="4"/>
        <v/>
      </c>
      <c r="AQ23" t="str">
        <f t="shared" si="4"/>
        <v/>
      </c>
      <c r="AR23" t="str">
        <f t="shared" si="4"/>
        <v/>
      </c>
      <c r="AS23" t="str">
        <f t="shared" si="4"/>
        <v/>
      </c>
      <c r="AT23" t="str">
        <f t="shared" si="4"/>
        <v/>
      </c>
      <c r="AU23" t="str">
        <f t="shared" si="4"/>
        <v/>
      </c>
      <c r="AV23" t="str">
        <f t="shared" si="4"/>
        <v/>
      </c>
      <c r="AW23" t="str">
        <f t="shared" si="4"/>
        <v/>
      </c>
      <c r="AX23" t="str">
        <f t="shared" si="4"/>
        <v/>
      </c>
      <c r="AY23" t="str">
        <f t="shared" si="4"/>
        <v/>
      </c>
      <c r="AZ23" t="str">
        <f t="shared" si="4"/>
        <v/>
      </c>
      <c r="BA23" s="10" t="str">
        <f t="shared" si="4"/>
        <v/>
      </c>
    </row>
    <row r="24" spans="1:53" x14ac:dyDescent="0.25">
      <c r="A24" s="16">
        <v>20</v>
      </c>
      <c r="B24" s="16" t="str">
        <f>IF(VLOOKUP($A24,'geocodes &amp; mnemonic list'!$A$5:$D$55,2,FALSE)&lt;&gt;"",VLOOKUP($A24,'geocodes &amp; mnemonic list'!$A$5:$D$55,2,FALSE),"")</f>
        <v>Dallas</v>
      </c>
      <c r="C24" s="16" t="str">
        <f>IF(VLOOKUP($A24,'geocodes &amp; mnemonic list'!$A$5:$E$104,5,FALSE)=0,"",VLOOKUP($A24,'geocodes &amp; mnemonic list'!$A$5:$E$104,5,FALSE))</f>
        <v>IUSA_DMDAL</v>
      </c>
      <c r="D24" s="9" t="str">
        <f t="shared" si="1"/>
        <v>FHHOLDQ.IUSA_DMDAL</v>
      </c>
      <c r="E24" t="str">
        <f t="shared" si="4"/>
        <v>FPOP2024Q.IUSA_DMDAL</v>
      </c>
      <c r="F24" t="str">
        <f t="shared" si="4"/>
        <v>FPOP2529Q.IUSA_DMDAL</v>
      </c>
      <c r="G24" t="str">
        <f t="shared" si="4"/>
        <v>FPOP3034Q.IUSA_DMDAL</v>
      </c>
      <c r="H24" t="str">
        <f t="shared" si="4"/>
        <v>FPOPQ.IUSA_DMDAL</v>
      </c>
      <c r="I24" t="str">
        <f t="shared" si="4"/>
        <v>FYHHMEDQ.IUSA_DMDAL</v>
      </c>
      <c r="J24" t="str">
        <f t="shared" si="4"/>
        <v>FET.IUSA_DMDAL</v>
      </c>
      <c r="K24" t="str">
        <f t="shared" si="4"/>
        <v>FCPIU.IUSA_DMDAL</v>
      </c>
      <c r="L24" t="str">
        <f t="shared" si="4"/>
        <v>FGDP$Q.IUSA_DMDAL</v>
      </c>
      <c r="M24" t="str">
        <f t="shared" si="4"/>
        <v>FHPNR.IUSA_DMDAL</v>
      </c>
      <c r="N24" t="str">
        <f t="shared" si="4"/>
        <v>FHPNM.IUSA_DMDAL</v>
      </c>
      <c r="O24" t="str">
        <f t="shared" si="4"/>
        <v>FHX1.IUSA_DMDAL</v>
      </c>
      <c r="P24" t="str">
        <f t="shared" si="4"/>
        <v>FHX1MED.IUSA_DMDAL</v>
      </c>
      <c r="Q24" t="str">
        <f t="shared" si="4"/>
        <v/>
      </c>
      <c r="R24" t="str">
        <f t="shared" si="4"/>
        <v/>
      </c>
      <c r="S24" t="str">
        <f t="shared" si="4"/>
        <v/>
      </c>
      <c r="T24" t="str">
        <f t="shared" si="4"/>
        <v/>
      </c>
      <c r="U24" t="str">
        <f t="shared" si="4"/>
        <v/>
      </c>
      <c r="V24" t="str">
        <f t="shared" si="4"/>
        <v/>
      </c>
      <c r="W24" t="str">
        <f t="shared" si="4"/>
        <v/>
      </c>
      <c r="X24" t="str">
        <f t="shared" si="4"/>
        <v/>
      </c>
      <c r="Y24" t="str">
        <f t="shared" si="4"/>
        <v/>
      </c>
      <c r="Z24" t="str">
        <f t="shared" si="4"/>
        <v/>
      </c>
      <c r="AA24" t="str">
        <f t="shared" si="4"/>
        <v/>
      </c>
      <c r="AB24" t="str">
        <f t="shared" si="4"/>
        <v/>
      </c>
      <c r="AC24" t="str">
        <f t="shared" si="4"/>
        <v/>
      </c>
      <c r="AD24" t="str">
        <f t="shared" si="4"/>
        <v/>
      </c>
      <c r="AE24" t="str">
        <f t="shared" si="4"/>
        <v/>
      </c>
      <c r="AF24" t="str">
        <f t="shared" si="4"/>
        <v/>
      </c>
      <c r="AG24" t="str">
        <f t="shared" si="4"/>
        <v/>
      </c>
      <c r="AH24" t="str">
        <f t="shared" si="4"/>
        <v/>
      </c>
      <c r="AI24" t="str">
        <f t="shared" si="4"/>
        <v/>
      </c>
      <c r="AJ24" t="str">
        <f t="shared" si="4"/>
        <v/>
      </c>
      <c r="AK24" t="str">
        <f t="shared" si="4"/>
        <v/>
      </c>
      <c r="AL24" t="str">
        <f t="shared" si="4"/>
        <v/>
      </c>
      <c r="AM24" t="str">
        <f t="shared" si="4"/>
        <v/>
      </c>
      <c r="AN24" t="str">
        <f t="shared" si="4"/>
        <v/>
      </c>
      <c r="AO24" t="str">
        <f t="shared" si="4"/>
        <v/>
      </c>
      <c r="AP24" t="str">
        <f t="shared" si="4"/>
        <v/>
      </c>
      <c r="AQ24" t="str">
        <f t="shared" si="4"/>
        <v/>
      </c>
      <c r="AR24" t="str">
        <f t="shared" si="4"/>
        <v/>
      </c>
      <c r="AS24" t="str">
        <f t="shared" si="4"/>
        <v/>
      </c>
      <c r="AT24" t="str">
        <f t="shared" si="4"/>
        <v/>
      </c>
      <c r="AU24" t="str">
        <f t="shared" si="4"/>
        <v/>
      </c>
      <c r="AV24" t="str">
        <f t="shared" si="4"/>
        <v/>
      </c>
      <c r="AW24" t="str">
        <f t="shared" si="4"/>
        <v/>
      </c>
      <c r="AX24" t="str">
        <f t="shared" si="4"/>
        <v/>
      </c>
      <c r="AY24" t="str">
        <f t="shared" si="4"/>
        <v/>
      </c>
      <c r="AZ24" t="str">
        <f t="shared" si="4"/>
        <v/>
      </c>
      <c r="BA24" s="10" t="str">
        <f t="shared" si="4"/>
        <v/>
      </c>
    </row>
    <row r="25" spans="1:53" x14ac:dyDescent="0.25">
      <c r="A25" s="16">
        <v>21</v>
      </c>
      <c r="B25" s="16" t="str">
        <f>IF(VLOOKUP($A25,'geocodes &amp; mnemonic list'!$A$5:$D$55,2,FALSE)&lt;&gt;"",VLOOKUP($A25,'geocodes &amp; mnemonic list'!$A$5:$D$55,2,FALSE),"")</f>
        <v>Fort Lauderdale</v>
      </c>
      <c r="C25" s="16" t="str">
        <f>IF(VLOOKUP($A25,'geocodes &amp; mnemonic list'!$A$5:$E$104,5,FALSE)=0,"",VLOOKUP($A25,'geocodes &amp; mnemonic list'!$A$5:$E$104,5,FALSE))</f>
        <v>IUSA_DMFOT</v>
      </c>
      <c r="D25" s="9" t="str">
        <f t="shared" si="1"/>
        <v>FHHOLDQ.IUSA_DMFOT</v>
      </c>
      <c r="E25" t="str">
        <f t="shared" si="4"/>
        <v>FPOP2024Q.IUSA_DMFOT</v>
      </c>
      <c r="F25" t="str">
        <f t="shared" si="4"/>
        <v>FPOP2529Q.IUSA_DMFOT</v>
      </c>
      <c r="G25" t="str">
        <f t="shared" si="4"/>
        <v>FPOP3034Q.IUSA_DMFOT</v>
      </c>
      <c r="H25" t="str">
        <f t="shared" si="4"/>
        <v>FPOPQ.IUSA_DMFOT</v>
      </c>
      <c r="I25" t="str">
        <f t="shared" si="4"/>
        <v>FYHHMEDQ.IUSA_DMFOT</v>
      </c>
      <c r="J25" t="str">
        <f t="shared" si="4"/>
        <v>FET.IUSA_DMFOT</v>
      </c>
      <c r="K25" t="str">
        <f t="shared" si="4"/>
        <v>FCPIU.IUSA_DMFOT</v>
      </c>
      <c r="L25" t="str">
        <f t="shared" si="4"/>
        <v>FGDP$Q.IUSA_DMFOT</v>
      </c>
      <c r="M25" t="str">
        <f t="shared" si="4"/>
        <v>FHPNR.IUSA_DMFOT</v>
      </c>
      <c r="N25" t="str">
        <f t="shared" si="4"/>
        <v>FHPNM.IUSA_DMFOT</v>
      </c>
      <c r="O25" t="str">
        <f t="shared" si="4"/>
        <v>FHX1.IUSA_DMFOT</v>
      </c>
      <c r="P25" t="str">
        <f t="shared" si="4"/>
        <v>FHX1MED.IUSA_DMFOT</v>
      </c>
      <c r="Q25" t="str">
        <f t="shared" si="4"/>
        <v/>
      </c>
      <c r="R25" t="str">
        <f t="shared" si="4"/>
        <v/>
      </c>
      <c r="S25" t="str">
        <f t="shared" si="4"/>
        <v/>
      </c>
      <c r="T25" t="str">
        <f t="shared" si="4"/>
        <v/>
      </c>
      <c r="U25" t="str">
        <f t="shared" si="4"/>
        <v/>
      </c>
      <c r="V25" t="str">
        <f t="shared" si="4"/>
        <v/>
      </c>
      <c r="W25" t="str">
        <f t="shared" si="4"/>
        <v/>
      </c>
      <c r="X25" t="str">
        <f t="shared" si="4"/>
        <v/>
      </c>
      <c r="Y25" t="str">
        <f t="shared" si="4"/>
        <v/>
      </c>
      <c r="Z25" t="str">
        <f t="shared" si="4"/>
        <v/>
      </c>
      <c r="AA25" t="str">
        <f t="shared" si="4"/>
        <v/>
      </c>
      <c r="AB25" t="str">
        <f t="shared" si="4"/>
        <v/>
      </c>
      <c r="AC25" t="str">
        <f t="shared" si="4"/>
        <v/>
      </c>
      <c r="AD25" t="str">
        <f t="shared" si="4"/>
        <v/>
      </c>
      <c r="AE25" t="str">
        <f t="shared" si="4"/>
        <v/>
      </c>
      <c r="AF25" t="str">
        <f t="shared" si="4"/>
        <v/>
      </c>
      <c r="AG25" t="str">
        <f t="shared" si="4"/>
        <v/>
      </c>
      <c r="AH25" t="str">
        <f t="shared" si="4"/>
        <v/>
      </c>
      <c r="AI25" t="str">
        <f t="shared" si="4"/>
        <v/>
      </c>
      <c r="AJ25" t="str">
        <f t="shared" si="4"/>
        <v/>
      </c>
      <c r="AK25" t="str">
        <f t="shared" si="4"/>
        <v/>
      </c>
      <c r="AL25" t="str">
        <f t="shared" si="4"/>
        <v/>
      </c>
      <c r="AM25" t="str">
        <f t="shared" si="4"/>
        <v/>
      </c>
      <c r="AN25" t="str">
        <f t="shared" si="4"/>
        <v/>
      </c>
      <c r="AO25" t="str">
        <f t="shared" si="4"/>
        <v/>
      </c>
      <c r="AP25" t="str">
        <f t="shared" si="4"/>
        <v/>
      </c>
      <c r="AQ25" t="str">
        <f t="shared" si="4"/>
        <v/>
      </c>
      <c r="AR25" t="str">
        <f t="shared" si="4"/>
        <v/>
      </c>
      <c r="AS25" t="str">
        <f t="shared" si="4"/>
        <v/>
      </c>
      <c r="AT25" t="str">
        <f t="shared" si="4"/>
        <v/>
      </c>
      <c r="AU25" t="str">
        <f t="shared" si="4"/>
        <v/>
      </c>
      <c r="AV25" t="str">
        <f t="shared" si="4"/>
        <v/>
      </c>
      <c r="AW25" t="str">
        <f t="shared" si="4"/>
        <v/>
      </c>
      <c r="AX25" t="str">
        <f t="shared" si="4"/>
        <v/>
      </c>
      <c r="AY25" t="str">
        <f t="shared" si="4"/>
        <v/>
      </c>
      <c r="AZ25" t="str">
        <f t="shared" si="4"/>
        <v/>
      </c>
      <c r="BA25" s="10" t="str">
        <f t="shared" si="4"/>
        <v/>
      </c>
    </row>
    <row r="26" spans="1:53" x14ac:dyDescent="0.25">
      <c r="A26" s="16">
        <v>22</v>
      </c>
      <c r="B26" s="16" t="str">
        <f>IF(VLOOKUP($A26,'geocodes &amp; mnemonic list'!$A$5:$D$55,2,FALSE)&lt;&gt;"",VLOOKUP($A26,'geocodes &amp; mnemonic list'!$A$5:$D$55,2,FALSE),"")</f>
        <v>Fort Worth</v>
      </c>
      <c r="C26" s="16" t="str">
        <f>IF(VLOOKUP($A26,'geocodes &amp; mnemonic list'!$A$5:$E$104,5,FALSE)=0,"",VLOOKUP($A26,'geocodes &amp; mnemonic list'!$A$5:$E$104,5,FALSE))</f>
        <v>IUSA_DMDLL</v>
      </c>
      <c r="D26" s="9" t="str">
        <f t="shared" si="1"/>
        <v>FHHOLDQ.IUSA_DMDLL</v>
      </c>
      <c r="E26" t="str">
        <f t="shared" si="4"/>
        <v>FPOP2024Q.IUSA_DMDLL</v>
      </c>
      <c r="F26" t="str">
        <f t="shared" si="4"/>
        <v>FPOP2529Q.IUSA_DMDLL</v>
      </c>
      <c r="G26" t="str">
        <f t="shared" si="4"/>
        <v>FPOP3034Q.IUSA_DMDLL</v>
      </c>
      <c r="H26" t="str">
        <f t="shared" si="4"/>
        <v>FPOPQ.IUSA_DMDLL</v>
      </c>
      <c r="I26" t="str">
        <f t="shared" si="4"/>
        <v>FYHHMEDQ.IUSA_DMDLL</v>
      </c>
      <c r="J26" t="str">
        <f t="shared" si="4"/>
        <v>FET.IUSA_DMDLL</v>
      </c>
      <c r="K26" t="str">
        <f t="shared" ref="E26:BA31" si="5">IF(AND($C26&lt;&gt;"",K$2&lt;&gt;""),K$2&amp;"."&amp;$C26,"")</f>
        <v>FCPIU.IUSA_DMDLL</v>
      </c>
      <c r="L26" t="str">
        <f t="shared" si="5"/>
        <v>FGDP$Q.IUSA_DMDLL</v>
      </c>
      <c r="M26" t="str">
        <f t="shared" si="5"/>
        <v>FHPNR.IUSA_DMDLL</v>
      </c>
      <c r="N26" t="str">
        <f t="shared" si="5"/>
        <v>FHPNM.IUSA_DMDLL</v>
      </c>
      <c r="O26" t="str">
        <f t="shared" si="5"/>
        <v>FHX1.IUSA_DMDLL</v>
      </c>
      <c r="P26" t="str">
        <f t="shared" si="5"/>
        <v>FHX1MED.IUSA_DMDLL</v>
      </c>
      <c r="Q26" t="str">
        <f t="shared" si="5"/>
        <v/>
      </c>
      <c r="R26" t="str">
        <f t="shared" si="5"/>
        <v/>
      </c>
      <c r="S26" t="str">
        <f t="shared" si="5"/>
        <v/>
      </c>
      <c r="T26" t="str">
        <f t="shared" si="5"/>
        <v/>
      </c>
      <c r="U26" t="str">
        <f t="shared" si="5"/>
        <v/>
      </c>
      <c r="V26" t="str">
        <f t="shared" si="5"/>
        <v/>
      </c>
      <c r="W26" t="str">
        <f t="shared" si="5"/>
        <v/>
      </c>
      <c r="X26" t="str">
        <f t="shared" si="5"/>
        <v/>
      </c>
      <c r="Y26" t="str">
        <f t="shared" si="5"/>
        <v/>
      </c>
      <c r="Z26" t="str">
        <f t="shared" si="5"/>
        <v/>
      </c>
      <c r="AA26" t="str">
        <f t="shared" si="5"/>
        <v/>
      </c>
      <c r="AB26" t="str">
        <f t="shared" si="5"/>
        <v/>
      </c>
      <c r="AC26" t="str">
        <f t="shared" si="5"/>
        <v/>
      </c>
      <c r="AD26" t="str">
        <f t="shared" si="5"/>
        <v/>
      </c>
      <c r="AE26" t="str">
        <f t="shared" si="5"/>
        <v/>
      </c>
      <c r="AF26" t="str">
        <f t="shared" si="5"/>
        <v/>
      </c>
      <c r="AG26" t="str">
        <f t="shared" si="5"/>
        <v/>
      </c>
      <c r="AH26" t="str">
        <f t="shared" si="5"/>
        <v/>
      </c>
      <c r="AI26" t="str">
        <f t="shared" si="5"/>
        <v/>
      </c>
      <c r="AJ26" t="str">
        <f t="shared" si="5"/>
        <v/>
      </c>
      <c r="AK26" t="str">
        <f t="shared" si="5"/>
        <v/>
      </c>
      <c r="AL26" t="str">
        <f t="shared" si="5"/>
        <v/>
      </c>
      <c r="AM26" t="str">
        <f t="shared" si="5"/>
        <v/>
      </c>
      <c r="AN26" t="str">
        <f t="shared" si="5"/>
        <v/>
      </c>
      <c r="AO26" t="str">
        <f t="shared" si="5"/>
        <v/>
      </c>
      <c r="AP26" t="str">
        <f t="shared" si="5"/>
        <v/>
      </c>
      <c r="AQ26" t="str">
        <f t="shared" si="5"/>
        <v/>
      </c>
      <c r="AR26" t="str">
        <f t="shared" si="5"/>
        <v/>
      </c>
      <c r="AS26" t="str">
        <f t="shared" si="5"/>
        <v/>
      </c>
      <c r="AT26" t="str">
        <f t="shared" si="5"/>
        <v/>
      </c>
      <c r="AU26" t="str">
        <f t="shared" si="5"/>
        <v/>
      </c>
      <c r="AV26" t="str">
        <f t="shared" si="5"/>
        <v/>
      </c>
      <c r="AW26" t="str">
        <f t="shared" si="5"/>
        <v/>
      </c>
      <c r="AX26" t="str">
        <f t="shared" si="5"/>
        <v/>
      </c>
      <c r="AY26" t="str">
        <f t="shared" si="5"/>
        <v/>
      </c>
      <c r="AZ26" t="str">
        <f t="shared" si="5"/>
        <v/>
      </c>
      <c r="BA26" s="10" t="str">
        <f t="shared" si="5"/>
        <v/>
      </c>
    </row>
    <row r="27" spans="1:53" x14ac:dyDescent="0.25">
      <c r="A27" s="16">
        <v>23</v>
      </c>
      <c r="B27" s="16" t="str">
        <f>IF(VLOOKUP($A27,'geocodes &amp; mnemonic list'!$A$5:$D$55,2,FALSE)&lt;&gt;"",VLOOKUP($A27,'geocodes &amp; mnemonic list'!$A$5:$D$55,2,FALSE),"")</f>
        <v>Miami</v>
      </c>
      <c r="C27" s="16" t="str">
        <f>IF(VLOOKUP($A27,'geocodes &amp; mnemonic list'!$A$5:$E$104,5,FALSE)=0,"",VLOOKUP($A27,'geocodes &amp; mnemonic list'!$A$5:$E$104,5,FALSE))</f>
        <v>IUSA_DMMIA</v>
      </c>
      <c r="D27" s="9" t="str">
        <f t="shared" si="1"/>
        <v>FHHOLDQ.IUSA_DMMIA</v>
      </c>
      <c r="E27" t="str">
        <f t="shared" si="5"/>
        <v>FPOP2024Q.IUSA_DMMIA</v>
      </c>
      <c r="F27" t="str">
        <f t="shared" si="5"/>
        <v>FPOP2529Q.IUSA_DMMIA</v>
      </c>
      <c r="G27" t="str">
        <f t="shared" si="5"/>
        <v>FPOP3034Q.IUSA_DMMIA</v>
      </c>
      <c r="H27" t="str">
        <f t="shared" si="5"/>
        <v>FPOPQ.IUSA_DMMIA</v>
      </c>
      <c r="I27" t="str">
        <f t="shared" si="5"/>
        <v>FYHHMEDQ.IUSA_DMMIA</v>
      </c>
      <c r="J27" t="str">
        <f t="shared" si="5"/>
        <v>FET.IUSA_DMMIA</v>
      </c>
      <c r="K27" t="str">
        <f t="shared" si="5"/>
        <v>FCPIU.IUSA_DMMIA</v>
      </c>
      <c r="L27" t="str">
        <f t="shared" si="5"/>
        <v>FGDP$Q.IUSA_DMMIA</v>
      </c>
      <c r="M27" t="str">
        <f t="shared" si="5"/>
        <v>FHPNR.IUSA_DMMIA</v>
      </c>
      <c r="N27" t="str">
        <f t="shared" si="5"/>
        <v>FHPNM.IUSA_DMMIA</v>
      </c>
      <c r="O27" t="str">
        <f t="shared" si="5"/>
        <v>FHX1.IUSA_DMMIA</v>
      </c>
      <c r="P27" t="str">
        <f t="shared" si="5"/>
        <v>FHX1MED.IUSA_DMMIA</v>
      </c>
      <c r="Q27" t="str">
        <f t="shared" si="5"/>
        <v/>
      </c>
      <c r="R27" t="str">
        <f t="shared" si="5"/>
        <v/>
      </c>
      <c r="S27" t="str">
        <f t="shared" si="5"/>
        <v/>
      </c>
      <c r="T27" t="str">
        <f t="shared" si="5"/>
        <v/>
      </c>
      <c r="U27" t="str">
        <f t="shared" si="5"/>
        <v/>
      </c>
      <c r="V27" t="str">
        <f t="shared" si="5"/>
        <v/>
      </c>
      <c r="W27" t="str">
        <f t="shared" si="5"/>
        <v/>
      </c>
      <c r="X27" t="str">
        <f t="shared" si="5"/>
        <v/>
      </c>
      <c r="Y27" t="str">
        <f t="shared" si="5"/>
        <v/>
      </c>
      <c r="Z27" t="str">
        <f t="shared" si="5"/>
        <v/>
      </c>
      <c r="AA27" t="str">
        <f t="shared" si="5"/>
        <v/>
      </c>
      <c r="AB27" t="str">
        <f t="shared" si="5"/>
        <v/>
      </c>
      <c r="AC27" t="str">
        <f t="shared" si="5"/>
        <v/>
      </c>
      <c r="AD27" t="str">
        <f t="shared" si="5"/>
        <v/>
      </c>
      <c r="AE27" t="str">
        <f t="shared" si="5"/>
        <v/>
      </c>
      <c r="AF27" t="str">
        <f t="shared" si="5"/>
        <v/>
      </c>
      <c r="AG27" t="str">
        <f t="shared" si="5"/>
        <v/>
      </c>
      <c r="AH27" t="str">
        <f t="shared" si="5"/>
        <v/>
      </c>
      <c r="AI27" t="str">
        <f t="shared" si="5"/>
        <v/>
      </c>
      <c r="AJ27" t="str">
        <f t="shared" si="5"/>
        <v/>
      </c>
      <c r="AK27" t="str">
        <f t="shared" si="5"/>
        <v/>
      </c>
      <c r="AL27" t="str">
        <f t="shared" si="5"/>
        <v/>
      </c>
      <c r="AM27" t="str">
        <f t="shared" si="5"/>
        <v/>
      </c>
      <c r="AN27" t="str">
        <f t="shared" si="5"/>
        <v/>
      </c>
      <c r="AO27" t="str">
        <f t="shared" si="5"/>
        <v/>
      </c>
      <c r="AP27" t="str">
        <f t="shared" si="5"/>
        <v/>
      </c>
      <c r="AQ27" t="str">
        <f t="shared" si="5"/>
        <v/>
      </c>
      <c r="AR27" t="str">
        <f t="shared" si="5"/>
        <v/>
      </c>
      <c r="AS27" t="str">
        <f t="shared" si="5"/>
        <v/>
      </c>
      <c r="AT27" t="str">
        <f t="shared" si="5"/>
        <v/>
      </c>
      <c r="AU27" t="str">
        <f t="shared" si="5"/>
        <v/>
      </c>
      <c r="AV27" t="str">
        <f t="shared" si="5"/>
        <v/>
      </c>
      <c r="AW27" t="str">
        <f t="shared" si="5"/>
        <v/>
      </c>
      <c r="AX27" t="str">
        <f t="shared" si="5"/>
        <v/>
      </c>
      <c r="AY27" t="str">
        <f t="shared" si="5"/>
        <v/>
      </c>
      <c r="AZ27" t="str">
        <f t="shared" si="5"/>
        <v/>
      </c>
      <c r="BA27" s="10" t="str">
        <f t="shared" si="5"/>
        <v/>
      </c>
    </row>
    <row r="28" spans="1:53" x14ac:dyDescent="0.25">
      <c r="A28" s="16">
        <v>24</v>
      </c>
      <c r="B28" s="16" t="str">
        <f>IF(VLOOKUP($A28,'geocodes &amp; mnemonic list'!$A$5:$D$55,2,FALSE)&lt;&gt;"",VLOOKUP($A28,'geocodes &amp; mnemonic list'!$A$5:$D$55,2,FALSE),"")</f>
        <v>Orlando</v>
      </c>
      <c r="C28" s="16" t="str">
        <f>IF(VLOOKUP($A28,'geocodes &amp; mnemonic list'!$A$5:$E$104,5,FALSE)=0,"",VLOOKUP($A28,'geocodes &amp; mnemonic list'!$A$5:$E$104,5,FALSE))</f>
        <v>IUSA_MORL</v>
      </c>
      <c r="D28" s="9" t="str">
        <f t="shared" si="1"/>
        <v>FHHOLDQ.IUSA_MORL</v>
      </c>
      <c r="E28" t="str">
        <f t="shared" si="5"/>
        <v>FPOP2024Q.IUSA_MORL</v>
      </c>
      <c r="F28" t="str">
        <f t="shared" si="5"/>
        <v>FPOP2529Q.IUSA_MORL</v>
      </c>
      <c r="G28" t="str">
        <f t="shared" si="5"/>
        <v>FPOP3034Q.IUSA_MORL</v>
      </c>
      <c r="H28" t="str">
        <f t="shared" si="5"/>
        <v>FPOPQ.IUSA_MORL</v>
      </c>
      <c r="I28" t="str">
        <f t="shared" si="5"/>
        <v>FYHHMEDQ.IUSA_MORL</v>
      </c>
      <c r="J28" t="str">
        <f t="shared" si="5"/>
        <v>FET.IUSA_MORL</v>
      </c>
      <c r="K28" t="str">
        <f t="shared" si="5"/>
        <v>FCPIU.IUSA_MORL</v>
      </c>
      <c r="L28" t="str">
        <f t="shared" si="5"/>
        <v>FGDP$Q.IUSA_MORL</v>
      </c>
      <c r="M28" t="str">
        <f t="shared" si="5"/>
        <v>FHPNR.IUSA_MORL</v>
      </c>
      <c r="N28" t="str">
        <f t="shared" si="5"/>
        <v>FHPNM.IUSA_MORL</v>
      </c>
      <c r="O28" t="str">
        <f t="shared" si="5"/>
        <v>FHX1.IUSA_MORL</v>
      </c>
      <c r="P28" t="str">
        <f t="shared" si="5"/>
        <v>FHX1MED.IUSA_MORL</v>
      </c>
      <c r="Q28" t="str">
        <f t="shared" si="5"/>
        <v/>
      </c>
      <c r="R28" t="str">
        <f t="shared" si="5"/>
        <v/>
      </c>
      <c r="S28" t="str">
        <f t="shared" si="5"/>
        <v/>
      </c>
      <c r="T28" t="str">
        <f t="shared" si="5"/>
        <v/>
      </c>
      <c r="U28" t="str">
        <f t="shared" si="5"/>
        <v/>
      </c>
      <c r="V28" t="str">
        <f t="shared" si="5"/>
        <v/>
      </c>
      <c r="W28" t="str">
        <f t="shared" si="5"/>
        <v/>
      </c>
      <c r="X28" t="str">
        <f t="shared" si="5"/>
        <v/>
      </c>
      <c r="Y28" t="str">
        <f t="shared" si="5"/>
        <v/>
      </c>
      <c r="Z28" t="str">
        <f t="shared" si="5"/>
        <v/>
      </c>
      <c r="AA28" t="str">
        <f t="shared" si="5"/>
        <v/>
      </c>
      <c r="AB28" t="str">
        <f t="shared" si="5"/>
        <v/>
      </c>
      <c r="AC28" t="str">
        <f t="shared" si="5"/>
        <v/>
      </c>
      <c r="AD28" t="str">
        <f t="shared" si="5"/>
        <v/>
      </c>
      <c r="AE28" t="str">
        <f t="shared" si="5"/>
        <v/>
      </c>
      <c r="AF28" t="str">
        <f t="shared" si="5"/>
        <v/>
      </c>
      <c r="AG28" t="str">
        <f t="shared" si="5"/>
        <v/>
      </c>
      <c r="AH28" t="str">
        <f t="shared" si="5"/>
        <v/>
      </c>
      <c r="AI28" t="str">
        <f t="shared" si="5"/>
        <v/>
      </c>
      <c r="AJ28" t="str">
        <f t="shared" si="5"/>
        <v/>
      </c>
      <c r="AK28" t="str">
        <f t="shared" si="5"/>
        <v/>
      </c>
      <c r="AL28" t="str">
        <f t="shared" si="5"/>
        <v/>
      </c>
      <c r="AM28" t="str">
        <f t="shared" si="5"/>
        <v/>
      </c>
      <c r="AN28" t="str">
        <f t="shared" si="5"/>
        <v/>
      </c>
      <c r="AO28" t="str">
        <f t="shared" si="5"/>
        <v/>
      </c>
      <c r="AP28" t="str">
        <f t="shared" si="5"/>
        <v/>
      </c>
      <c r="AQ28" t="str">
        <f t="shared" si="5"/>
        <v/>
      </c>
      <c r="AR28" t="str">
        <f t="shared" si="5"/>
        <v/>
      </c>
      <c r="AS28" t="str">
        <f t="shared" si="5"/>
        <v/>
      </c>
      <c r="AT28" t="str">
        <f t="shared" si="5"/>
        <v/>
      </c>
      <c r="AU28" t="str">
        <f t="shared" si="5"/>
        <v/>
      </c>
      <c r="AV28" t="str">
        <f t="shared" si="5"/>
        <v/>
      </c>
      <c r="AW28" t="str">
        <f t="shared" si="5"/>
        <v/>
      </c>
      <c r="AX28" t="str">
        <f t="shared" si="5"/>
        <v/>
      </c>
      <c r="AY28" t="str">
        <f t="shared" si="5"/>
        <v/>
      </c>
      <c r="AZ28" t="str">
        <f t="shared" si="5"/>
        <v/>
      </c>
      <c r="BA28" s="10" t="str">
        <f t="shared" si="5"/>
        <v/>
      </c>
    </row>
    <row r="29" spans="1:53" x14ac:dyDescent="0.25">
      <c r="A29" s="16">
        <v>25</v>
      </c>
      <c r="B29" s="16" t="str">
        <f>IF(VLOOKUP($A29,'geocodes &amp; mnemonic list'!$A$5:$D$55,2,FALSE)&lt;&gt;"",VLOOKUP($A29,'geocodes &amp; mnemonic list'!$A$5:$D$55,2,FALSE),"")</f>
        <v>San Bernardino/Riverside</v>
      </c>
      <c r="C29" s="16" t="str">
        <f>IF(VLOOKUP($A29,'geocodes &amp; mnemonic list'!$A$5:$E$104,5,FALSE)=0,"",VLOOKUP($A29,'geocodes &amp; mnemonic list'!$A$5:$E$104,5,FALSE))</f>
        <v>IUSA_MRIV</v>
      </c>
      <c r="D29" s="9" t="str">
        <f t="shared" si="1"/>
        <v>FHHOLDQ.IUSA_MRIV</v>
      </c>
      <c r="E29" t="str">
        <f t="shared" si="5"/>
        <v>FPOP2024Q.IUSA_MRIV</v>
      </c>
      <c r="F29" t="str">
        <f t="shared" si="5"/>
        <v>FPOP2529Q.IUSA_MRIV</v>
      </c>
      <c r="G29" t="str">
        <f t="shared" si="5"/>
        <v>FPOP3034Q.IUSA_MRIV</v>
      </c>
      <c r="H29" t="str">
        <f t="shared" si="5"/>
        <v>FPOPQ.IUSA_MRIV</v>
      </c>
      <c r="I29" t="str">
        <f t="shared" si="5"/>
        <v>FYHHMEDQ.IUSA_MRIV</v>
      </c>
      <c r="J29" t="str">
        <f t="shared" si="5"/>
        <v>FET.IUSA_MRIV</v>
      </c>
      <c r="K29" t="str">
        <f t="shared" si="5"/>
        <v>FCPIU.IUSA_MRIV</v>
      </c>
      <c r="L29" t="str">
        <f t="shared" si="5"/>
        <v>FGDP$Q.IUSA_MRIV</v>
      </c>
      <c r="M29" t="str">
        <f t="shared" si="5"/>
        <v>FHPNR.IUSA_MRIV</v>
      </c>
      <c r="N29" t="str">
        <f t="shared" si="5"/>
        <v>FHPNM.IUSA_MRIV</v>
      </c>
      <c r="O29" t="str">
        <f t="shared" si="5"/>
        <v>FHX1.IUSA_MRIV</v>
      </c>
      <c r="P29" t="str">
        <f t="shared" si="5"/>
        <v>FHX1MED.IUSA_MRIV</v>
      </c>
      <c r="Q29" t="str">
        <f t="shared" si="5"/>
        <v/>
      </c>
      <c r="R29" t="str">
        <f t="shared" si="5"/>
        <v/>
      </c>
      <c r="S29" t="str">
        <f t="shared" si="5"/>
        <v/>
      </c>
      <c r="T29" t="str">
        <f t="shared" si="5"/>
        <v/>
      </c>
      <c r="U29" t="str">
        <f t="shared" si="5"/>
        <v/>
      </c>
      <c r="V29" t="str">
        <f t="shared" si="5"/>
        <v/>
      </c>
      <c r="W29" t="str">
        <f t="shared" si="5"/>
        <v/>
      </c>
      <c r="X29" t="str">
        <f t="shared" si="5"/>
        <v/>
      </c>
      <c r="Y29" t="str">
        <f t="shared" si="5"/>
        <v/>
      </c>
      <c r="Z29" t="str">
        <f t="shared" si="5"/>
        <v/>
      </c>
      <c r="AA29" t="str">
        <f t="shared" si="5"/>
        <v/>
      </c>
      <c r="AB29" t="str">
        <f t="shared" si="5"/>
        <v/>
      </c>
      <c r="AC29" t="str">
        <f t="shared" si="5"/>
        <v/>
      </c>
      <c r="AD29" t="str">
        <f t="shared" si="5"/>
        <v/>
      </c>
      <c r="AE29" t="str">
        <f t="shared" si="5"/>
        <v/>
      </c>
      <c r="AF29" t="str">
        <f t="shared" si="5"/>
        <v/>
      </c>
      <c r="AG29" t="str">
        <f t="shared" si="5"/>
        <v/>
      </c>
      <c r="AH29" t="str">
        <f t="shared" si="5"/>
        <v/>
      </c>
      <c r="AI29" t="str">
        <f t="shared" si="5"/>
        <v/>
      </c>
      <c r="AJ29" t="str">
        <f t="shared" si="5"/>
        <v/>
      </c>
      <c r="AK29" t="str">
        <f t="shared" si="5"/>
        <v/>
      </c>
      <c r="AL29" t="str">
        <f t="shared" si="5"/>
        <v/>
      </c>
      <c r="AM29" t="str">
        <f t="shared" si="5"/>
        <v/>
      </c>
      <c r="AN29" t="str">
        <f t="shared" si="5"/>
        <v/>
      </c>
      <c r="AO29" t="str">
        <f t="shared" si="5"/>
        <v/>
      </c>
      <c r="AP29" t="str">
        <f t="shared" si="5"/>
        <v/>
      </c>
      <c r="AQ29" t="str">
        <f t="shared" si="5"/>
        <v/>
      </c>
      <c r="AR29" t="str">
        <f t="shared" si="5"/>
        <v/>
      </c>
      <c r="AS29" t="str">
        <f t="shared" si="5"/>
        <v/>
      </c>
      <c r="AT29" t="str">
        <f t="shared" si="5"/>
        <v/>
      </c>
      <c r="AU29" t="str">
        <f t="shared" si="5"/>
        <v/>
      </c>
      <c r="AV29" t="str">
        <f t="shared" si="5"/>
        <v/>
      </c>
      <c r="AW29" t="str">
        <f t="shared" si="5"/>
        <v/>
      </c>
      <c r="AX29" t="str">
        <f t="shared" si="5"/>
        <v/>
      </c>
      <c r="AY29" t="str">
        <f t="shared" si="5"/>
        <v/>
      </c>
      <c r="AZ29" t="str">
        <f t="shared" si="5"/>
        <v/>
      </c>
      <c r="BA29" s="10" t="str">
        <f t="shared" si="5"/>
        <v/>
      </c>
    </row>
    <row r="30" spans="1:53" x14ac:dyDescent="0.25">
      <c r="A30" s="16">
        <v>26</v>
      </c>
      <c r="B30" s="16" t="str">
        <f>IF(VLOOKUP($A30,'geocodes &amp; mnemonic list'!$A$5:$D$55,2,FALSE)&lt;&gt;"",VLOOKUP($A30,'geocodes &amp; mnemonic list'!$A$5:$D$55,2,FALSE),"")</f>
        <v>Tampa-St. Petersburg</v>
      </c>
      <c r="C30" s="16" t="str">
        <f>IF(VLOOKUP($A30,'geocodes &amp; mnemonic list'!$A$5:$E$104,5,FALSE)=0,"",VLOOKUP($A30,'geocodes &amp; mnemonic list'!$A$5:$E$104,5,FALSE))</f>
        <v>IUSA_MTAM</v>
      </c>
      <c r="D30" s="9" t="str">
        <f t="shared" si="1"/>
        <v>FHHOLDQ.IUSA_MTAM</v>
      </c>
      <c r="E30" t="str">
        <f t="shared" si="5"/>
        <v>FPOP2024Q.IUSA_MTAM</v>
      </c>
      <c r="F30" t="str">
        <f t="shared" si="5"/>
        <v>FPOP2529Q.IUSA_MTAM</v>
      </c>
      <c r="G30" t="str">
        <f t="shared" si="5"/>
        <v>FPOP3034Q.IUSA_MTAM</v>
      </c>
      <c r="H30" t="str">
        <f t="shared" si="5"/>
        <v>FPOPQ.IUSA_MTAM</v>
      </c>
      <c r="I30" t="str">
        <f t="shared" si="5"/>
        <v>FYHHMEDQ.IUSA_MTAM</v>
      </c>
      <c r="J30" t="str">
        <f t="shared" si="5"/>
        <v>FET.IUSA_MTAM</v>
      </c>
      <c r="K30" t="str">
        <f t="shared" si="5"/>
        <v>FCPIU.IUSA_MTAM</v>
      </c>
      <c r="L30" t="str">
        <f t="shared" si="5"/>
        <v>FGDP$Q.IUSA_MTAM</v>
      </c>
      <c r="M30" t="str">
        <f t="shared" si="5"/>
        <v>FHPNR.IUSA_MTAM</v>
      </c>
      <c r="N30" t="str">
        <f t="shared" si="5"/>
        <v>FHPNM.IUSA_MTAM</v>
      </c>
      <c r="O30" t="str">
        <f t="shared" si="5"/>
        <v>FHX1.IUSA_MTAM</v>
      </c>
      <c r="P30" t="str">
        <f t="shared" si="5"/>
        <v>FHX1MED.IUSA_MTAM</v>
      </c>
      <c r="Q30" t="str">
        <f t="shared" si="5"/>
        <v/>
      </c>
      <c r="R30" t="str">
        <f t="shared" si="5"/>
        <v/>
      </c>
      <c r="S30" t="str">
        <f t="shared" si="5"/>
        <v/>
      </c>
      <c r="T30" t="str">
        <f t="shared" si="5"/>
        <v/>
      </c>
      <c r="U30" t="str">
        <f t="shared" si="5"/>
        <v/>
      </c>
      <c r="V30" t="str">
        <f t="shared" si="5"/>
        <v/>
      </c>
      <c r="W30" t="str">
        <f t="shared" si="5"/>
        <v/>
      </c>
      <c r="X30" t="str">
        <f t="shared" si="5"/>
        <v/>
      </c>
      <c r="Y30" t="str">
        <f t="shared" si="5"/>
        <v/>
      </c>
      <c r="Z30" t="str">
        <f t="shared" si="5"/>
        <v/>
      </c>
      <c r="AA30" t="str">
        <f t="shared" si="5"/>
        <v/>
      </c>
      <c r="AB30" t="str">
        <f t="shared" si="5"/>
        <v/>
      </c>
      <c r="AC30" t="str">
        <f t="shared" si="5"/>
        <v/>
      </c>
      <c r="AD30" t="str">
        <f t="shared" si="5"/>
        <v/>
      </c>
      <c r="AE30" t="str">
        <f t="shared" si="5"/>
        <v/>
      </c>
      <c r="AF30" t="str">
        <f t="shared" si="5"/>
        <v/>
      </c>
      <c r="AG30" t="str">
        <f t="shared" si="5"/>
        <v/>
      </c>
      <c r="AH30" t="str">
        <f t="shared" si="5"/>
        <v/>
      </c>
      <c r="AI30" t="str">
        <f t="shared" si="5"/>
        <v/>
      </c>
      <c r="AJ30" t="str">
        <f t="shared" si="5"/>
        <v/>
      </c>
      <c r="AK30" t="str">
        <f t="shared" si="5"/>
        <v/>
      </c>
      <c r="AL30" t="str">
        <f t="shared" si="5"/>
        <v/>
      </c>
      <c r="AM30" t="str">
        <f t="shared" si="5"/>
        <v/>
      </c>
      <c r="AN30" t="str">
        <f t="shared" si="5"/>
        <v/>
      </c>
      <c r="AO30" t="str">
        <f t="shared" si="5"/>
        <v/>
      </c>
      <c r="AP30" t="str">
        <f t="shared" si="5"/>
        <v/>
      </c>
      <c r="AQ30" t="str">
        <f t="shared" si="5"/>
        <v/>
      </c>
      <c r="AR30" t="str">
        <f t="shared" si="5"/>
        <v/>
      </c>
      <c r="AS30" t="str">
        <f t="shared" si="5"/>
        <v/>
      </c>
      <c r="AT30" t="str">
        <f t="shared" si="5"/>
        <v/>
      </c>
      <c r="AU30" t="str">
        <f t="shared" si="5"/>
        <v/>
      </c>
      <c r="AV30" t="str">
        <f t="shared" si="5"/>
        <v/>
      </c>
      <c r="AW30" t="str">
        <f t="shared" si="5"/>
        <v/>
      </c>
      <c r="AX30" t="str">
        <f t="shared" si="5"/>
        <v/>
      </c>
      <c r="AY30" t="str">
        <f t="shared" si="5"/>
        <v/>
      </c>
      <c r="AZ30" t="str">
        <f t="shared" si="5"/>
        <v/>
      </c>
      <c r="BA30" s="10" t="str">
        <f t="shared" si="5"/>
        <v/>
      </c>
    </row>
    <row r="31" spans="1:53" x14ac:dyDescent="0.25">
      <c r="A31" s="16">
        <v>27</v>
      </c>
      <c r="B31" s="16" t="str">
        <f>IF(VLOOKUP($A31,'geocodes &amp; mnemonic list'!$A$5:$D$55,2,FALSE)&lt;&gt;"",VLOOKUP($A31,'geocodes &amp; mnemonic list'!$A$5:$D$55,2,FALSE),"")</f>
        <v>US Metro Total</v>
      </c>
      <c r="C31" s="16" t="str">
        <f>IF(VLOOKUP($A31,'geocodes &amp; mnemonic list'!$A$5:$E$104,5,FALSE)=0,"",VLOOKUP($A31,'geocodes &amp; mnemonic list'!$A$5:$E$104,5,FALSE))</f>
        <v>IUSA</v>
      </c>
      <c r="D31" s="9" t="str">
        <f t="shared" si="1"/>
        <v>FHHOLDQ.IUSA</v>
      </c>
      <c r="E31" t="str">
        <f t="shared" si="5"/>
        <v>FPOP2024Q.IUSA</v>
      </c>
      <c r="F31" t="str">
        <f t="shared" si="5"/>
        <v>FPOP2529Q.IUSA</v>
      </c>
      <c r="G31" t="str">
        <f t="shared" si="5"/>
        <v>FPOP3034Q.IUSA</v>
      </c>
      <c r="H31" t="str">
        <f t="shared" si="5"/>
        <v>FPOPQ.IUSA</v>
      </c>
      <c r="I31" t="str">
        <f t="shared" si="5"/>
        <v>FYHHMEDQ.IUSA</v>
      </c>
      <c r="J31" t="str">
        <f t="shared" si="5"/>
        <v>FET.IUSA</v>
      </c>
      <c r="K31" t="str">
        <f t="shared" si="5"/>
        <v>FCPIU.IUSA</v>
      </c>
      <c r="L31" t="str">
        <f t="shared" si="5"/>
        <v>FGDP$Q.IUSA</v>
      </c>
      <c r="M31" t="str">
        <f t="shared" si="5"/>
        <v>FHPNR.IUSA</v>
      </c>
      <c r="N31" t="str">
        <f t="shared" si="5"/>
        <v>FHPNM.IUSA</v>
      </c>
      <c r="O31" t="str">
        <f t="shared" si="5"/>
        <v>FHX1.IUSA</v>
      </c>
      <c r="P31" t="str">
        <f t="shared" si="5"/>
        <v>FHX1MED.IUSA</v>
      </c>
      <c r="Q31" t="str">
        <f t="shared" si="5"/>
        <v/>
      </c>
      <c r="R31" t="str">
        <f t="shared" si="5"/>
        <v/>
      </c>
      <c r="S31" t="str">
        <f t="shared" si="5"/>
        <v/>
      </c>
      <c r="T31" t="str">
        <f t="shared" si="5"/>
        <v/>
      </c>
      <c r="U31" t="str">
        <f t="shared" ref="E31:BA36" si="6">IF(AND($C31&lt;&gt;"",U$2&lt;&gt;""),U$2&amp;"."&amp;$C31,"")</f>
        <v/>
      </c>
      <c r="V31" t="str">
        <f t="shared" si="6"/>
        <v/>
      </c>
      <c r="W31" t="str">
        <f t="shared" si="6"/>
        <v/>
      </c>
      <c r="X31" t="str">
        <f t="shared" si="6"/>
        <v/>
      </c>
      <c r="Y31" t="str">
        <f t="shared" si="6"/>
        <v/>
      </c>
      <c r="Z31" t="str">
        <f t="shared" si="6"/>
        <v/>
      </c>
      <c r="AA31" t="str">
        <f t="shared" si="6"/>
        <v/>
      </c>
      <c r="AB31" t="str">
        <f t="shared" si="6"/>
        <v/>
      </c>
      <c r="AC31" t="str">
        <f t="shared" si="6"/>
        <v/>
      </c>
      <c r="AD31" t="str">
        <f t="shared" si="6"/>
        <v/>
      </c>
      <c r="AE31" t="str">
        <f t="shared" si="6"/>
        <v/>
      </c>
      <c r="AF31" t="str">
        <f t="shared" si="6"/>
        <v/>
      </c>
      <c r="AG31" t="str">
        <f t="shared" si="6"/>
        <v/>
      </c>
      <c r="AH31" t="str">
        <f t="shared" si="6"/>
        <v/>
      </c>
      <c r="AI31" t="str">
        <f t="shared" si="6"/>
        <v/>
      </c>
      <c r="AJ31" t="str">
        <f t="shared" si="6"/>
        <v/>
      </c>
      <c r="AK31" t="str">
        <f t="shared" si="6"/>
        <v/>
      </c>
      <c r="AL31" t="str">
        <f t="shared" si="6"/>
        <v/>
      </c>
      <c r="AM31" t="str">
        <f t="shared" si="6"/>
        <v/>
      </c>
      <c r="AN31" t="str">
        <f t="shared" si="6"/>
        <v/>
      </c>
      <c r="AO31" t="str">
        <f t="shared" si="6"/>
        <v/>
      </c>
      <c r="AP31" t="str">
        <f t="shared" si="6"/>
        <v/>
      </c>
      <c r="AQ31" t="str">
        <f t="shared" si="6"/>
        <v/>
      </c>
      <c r="AR31" t="str">
        <f t="shared" si="6"/>
        <v/>
      </c>
      <c r="AS31" t="str">
        <f t="shared" si="6"/>
        <v/>
      </c>
      <c r="AT31" t="str">
        <f t="shared" si="6"/>
        <v/>
      </c>
      <c r="AU31" t="str">
        <f t="shared" si="6"/>
        <v/>
      </c>
      <c r="AV31" t="str">
        <f t="shared" si="6"/>
        <v/>
      </c>
      <c r="AW31" t="str">
        <f t="shared" si="6"/>
        <v/>
      </c>
      <c r="AX31" t="str">
        <f t="shared" si="6"/>
        <v/>
      </c>
      <c r="AY31" t="str">
        <f t="shared" si="6"/>
        <v/>
      </c>
      <c r="AZ31" t="str">
        <f t="shared" si="6"/>
        <v/>
      </c>
      <c r="BA31" s="10" t="str">
        <f t="shared" si="6"/>
        <v/>
      </c>
    </row>
    <row r="32" spans="1:53" x14ac:dyDescent="0.25">
      <c r="A32" s="16">
        <v>28</v>
      </c>
      <c r="B32" s="16" t="str">
        <f>IF(VLOOKUP($A32,'geocodes &amp; mnemonic list'!$A$5:$D$55,2,FALSE)&lt;&gt;"",VLOOKUP($A32,'geocodes &amp; mnemonic list'!$A$5:$D$55,2,FALSE),"")</f>
        <v>Seattle 1</v>
      </c>
      <c r="C32" s="16" t="str">
        <f>IF(VLOOKUP($A32,'geocodes &amp; mnemonic list'!$A$5:$E$104,5,FALSE)=0,"",VLOOKUP($A32,'geocodes &amp; mnemonic list'!$A$5:$E$104,5,FALSE))</f>
        <v>IUSA_DMEVE</v>
      </c>
      <c r="D32" s="9" t="str">
        <f t="shared" si="1"/>
        <v>FHHOLDQ.IUSA_DMEVE</v>
      </c>
      <c r="E32" t="str">
        <f t="shared" si="6"/>
        <v>FPOP2024Q.IUSA_DMEVE</v>
      </c>
      <c r="F32" t="str">
        <f t="shared" si="6"/>
        <v>FPOP2529Q.IUSA_DMEVE</v>
      </c>
      <c r="G32" t="str">
        <f t="shared" si="6"/>
        <v>FPOP3034Q.IUSA_DMEVE</v>
      </c>
      <c r="H32" t="str">
        <f t="shared" si="6"/>
        <v>FPOPQ.IUSA_DMEVE</v>
      </c>
      <c r="I32" t="str">
        <f t="shared" si="6"/>
        <v>FYHHMEDQ.IUSA_DMEVE</v>
      </c>
      <c r="J32" t="str">
        <f t="shared" si="6"/>
        <v>FET.IUSA_DMEVE</v>
      </c>
      <c r="K32" t="str">
        <f t="shared" si="6"/>
        <v>FCPIU.IUSA_DMEVE</v>
      </c>
      <c r="L32" t="str">
        <f t="shared" si="6"/>
        <v>FGDP$Q.IUSA_DMEVE</v>
      </c>
      <c r="M32" t="str">
        <f t="shared" si="6"/>
        <v>FHPNR.IUSA_DMEVE</v>
      </c>
      <c r="N32" t="str">
        <f t="shared" si="6"/>
        <v>FHPNM.IUSA_DMEVE</v>
      </c>
      <c r="O32" t="str">
        <f t="shared" si="6"/>
        <v>FHX1.IUSA_DMEVE</v>
      </c>
      <c r="P32" t="str">
        <f t="shared" si="6"/>
        <v>FHX1MED.IUSA_DMEVE</v>
      </c>
      <c r="Q32" t="str">
        <f t="shared" si="6"/>
        <v/>
      </c>
      <c r="R32" t="str">
        <f t="shared" si="6"/>
        <v/>
      </c>
      <c r="S32" t="str">
        <f t="shared" si="6"/>
        <v/>
      </c>
      <c r="T32" t="str">
        <f t="shared" si="6"/>
        <v/>
      </c>
      <c r="U32" t="str">
        <f t="shared" si="6"/>
        <v/>
      </c>
      <c r="V32" t="str">
        <f t="shared" si="6"/>
        <v/>
      </c>
      <c r="W32" t="str">
        <f t="shared" si="6"/>
        <v/>
      </c>
      <c r="X32" t="str">
        <f t="shared" si="6"/>
        <v/>
      </c>
      <c r="Y32" t="str">
        <f t="shared" si="6"/>
        <v/>
      </c>
      <c r="Z32" t="str">
        <f t="shared" si="6"/>
        <v/>
      </c>
      <c r="AA32" t="str">
        <f t="shared" si="6"/>
        <v/>
      </c>
      <c r="AB32" t="str">
        <f t="shared" si="6"/>
        <v/>
      </c>
      <c r="AC32" t="str">
        <f t="shared" si="6"/>
        <v/>
      </c>
      <c r="AD32" t="str">
        <f t="shared" si="6"/>
        <v/>
      </c>
      <c r="AE32" t="str">
        <f t="shared" si="6"/>
        <v/>
      </c>
      <c r="AF32" t="str">
        <f t="shared" si="6"/>
        <v/>
      </c>
      <c r="AG32" t="str">
        <f t="shared" si="6"/>
        <v/>
      </c>
      <c r="AH32" t="str">
        <f t="shared" si="6"/>
        <v/>
      </c>
      <c r="AI32" t="str">
        <f t="shared" si="6"/>
        <v/>
      </c>
      <c r="AJ32" t="str">
        <f t="shared" si="6"/>
        <v/>
      </c>
      <c r="AK32" t="str">
        <f t="shared" si="6"/>
        <v/>
      </c>
      <c r="AL32" t="str">
        <f t="shared" si="6"/>
        <v/>
      </c>
      <c r="AM32" t="str">
        <f t="shared" si="6"/>
        <v/>
      </c>
      <c r="AN32" t="str">
        <f t="shared" si="6"/>
        <v/>
      </c>
      <c r="AO32" t="str">
        <f t="shared" si="6"/>
        <v/>
      </c>
      <c r="AP32" t="str">
        <f t="shared" si="6"/>
        <v/>
      </c>
      <c r="AQ32" t="str">
        <f t="shared" si="6"/>
        <v/>
      </c>
      <c r="AR32" t="str">
        <f t="shared" si="6"/>
        <v/>
      </c>
      <c r="AS32" t="str">
        <f t="shared" si="6"/>
        <v/>
      </c>
      <c r="AT32" t="str">
        <f t="shared" si="6"/>
        <v/>
      </c>
      <c r="AU32" t="str">
        <f t="shared" si="6"/>
        <v/>
      </c>
      <c r="AV32" t="str">
        <f t="shared" si="6"/>
        <v/>
      </c>
      <c r="AW32" t="str">
        <f t="shared" si="6"/>
        <v/>
      </c>
      <c r="AX32" t="str">
        <f t="shared" si="6"/>
        <v/>
      </c>
      <c r="AY32" t="str">
        <f t="shared" si="6"/>
        <v/>
      </c>
      <c r="AZ32" t="str">
        <f t="shared" si="6"/>
        <v/>
      </c>
      <c r="BA32" s="10" t="str">
        <f t="shared" si="6"/>
        <v/>
      </c>
    </row>
    <row r="33" spans="1:53" x14ac:dyDescent="0.25">
      <c r="A33" s="16">
        <v>29</v>
      </c>
      <c r="B33" s="16" t="str">
        <f>IF(VLOOKUP($A33,'geocodes &amp; mnemonic list'!$A$5:$D$55,2,FALSE)&lt;&gt;"",VLOOKUP($A33,'geocodes &amp; mnemonic list'!$A$5:$D$55,2,FALSE),"")</f>
        <v>Seattle 2</v>
      </c>
      <c r="C33" s="16" t="str">
        <f>IF(VLOOKUP($A33,'geocodes &amp; mnemonic list'!$A$5:$E$104,5,FALSE)=0,"",VLOOKUP($A33,'geocodes &amp; mnemonic list'!$A$5:$E$104,5,FALSE))</f>
        <v>IUSA_DMSEB</v>
      </c>
      <c r="D33" s="9" t="str">
        <f t="shared" si="1"/>
        <v>FHHOLDQ.IUSA_DMSEB</v>
      </c>
      <c r="E33" t="str">
        <f t="shared" si="6"/>
        <v>FPOP2024Q.IUSA_DMSEB</v>
      </c>
      <c r="F33" t="str">
        <f t="shared" si="6"/>
        <v>FPOP2529Q.IUSA_DMSEB</v>
      </c>
      <c r="G33" t="str">
        <f t="shared" si="6"/>
        <v>FPOP3034Q.IUSA_DMSEB</v>
      </c>
      <c r="H33" t="str">
        <f t="shared" si="6"/>
        <v>FPOPQ.IUSA_DMSEB</v>
      </c>
      <c r="I33" t="str">
        <f t="shared" si="6"/>
        <v>FYHHMEDQ.IUSA_DMSEB</v>
      </c>
      <c r="J33" t="str">
        <f t="shared" si="6"/>
        <v>FET.IUSA_DMSEB</v>
      </c>
      <c r="K33" t="str">
        <f t="shared" si="6"/>
        <v>FCPIU.IUSA_DMSEB</v>
      </c>
      <c r="L33" t="str">
        <f t="shared" si="6"/>
        <v>FGDP$Q.IUSA_DMSEB</v>
      </c>
      <c r="M33" t="str">
        <f t="shared" si="6"/>
        <v>FHPNR.IUSA_DMSEB</v>
      </c>
      <c r="N33" t="str">
        <f t="shared" si="6"/>
        <v>FHPNM.IUSA_DMSEB</v>
      </c>
      <c r="O33" t="str">
        <f t="shared" si="6"/>
        <v>FHX1.IUSA_DMSEB</v>
      </c>
      <c r="P33" t="str">
        <f t="shared" si="6"/>
        <v>FHX1MED.IUSA_DMSEB</v>
      </c>
      <c r="Q33" t="str">
        <f t="shared" si="6"/>
        <v/>
      </c>
      <c r="R33" t="str">
        <f t="shared" si="6"/>
        <v/>
      </c>
      <c r="S33" t="str">
        <f t="shared" si="6"/>
        <v/>
      </c>
      <c r="T33" t="str">
        <f t="shared" si="6"/>
        <v/>
      </c>
      <c r="U33" t="str">
        <f t="shared" si="6"/>
        <v/>
      </c>
      <c r="V33" t="str">
        <f t="shared" si="6"/>
        <v/>
      </c>
      <c r="W33" t="str">
        <f t="shared" si="6"/>
        <v/>
      </c>
      <c r="X33" t="str">
        <f t="shared" si="6"/>
        <v/>
      </c>
      <c r="Y33" t="str">
        <f t="shared" si="6"/>
        <v/>
      </c>
      <c r="Z33" t="str">
        <f t="shared" si="6"/>
        <v/>
      </c>
      <c r="AA33" t="str">
        <f t="shared" si="6"/>
        <v/>
      </c>
      <c r="AB33" t="str">
        <f t="shared" si="6"/>
        <v/>
      </c>
      <c r="AC33" t="str">
        <f t="shared" si="6"/>
        <v/>
      </c>
      <c r="AD33" t="str">
        <f t="shared" si="6"/>
        <v/>
      </c>
      <c r="AE33" t="str">
        <f t="shared" si="6"/>
        <v/>
      </c>
      <c r="AF33" t="str">
        <f t="shared" si="6"/>
        <v/>
      </c>
      <c r="AG33" t="str">
        <f t="shared" si="6"/>
        <v/>
      </c>
      <c r="AH33" t="str">
        <f t="shared" si="6"/>
        <v/>
      </c>
      <c r="AI33" t="str">
        <f t="shared" si="6"/>
        <v/>
      </c>
      <c r="AJ33" t="str">
        <f t="shared" si="6"/>
        <v/>
      </c>
      <c r="AK33" t="str">
        <f t="shared" si="6"/>
        <v/>
      </c>
      <c r="AL33" t="str">
        <f t="shared" si="6"/>
        <v/>
      </c>
      <c r="AM33" t="str">
        <f t="shared" si="6"/>
        <v/>
      </c>
      <c r="AN33" t="str">
        <f t="shared" si="6"/>
        <v/>
      </c>
      <c r="AO33" t="str">
        <f t="shared" si="6"/>
        <v/>
      </c>
      <c r="AP33" t="str">
        <f t="shared" si="6"/>
        <v/>
      </c>
      <c r="AQ33" t="str">
        <f t="shared" si="6"/>
        <v/>
      </c>
      <c r="AR33" t="str">
        <f t="shared" si="6"/>
        <v/>
      </c>
      <c r="AS33" t="str">
        <f t="shared" si="6"/>
        <v/>
      </c>
      <c r="AT33" t="str">
        <f t="shared" si="6"/>
        <v/>
      </c>
      <c r="AU33" t="str">
        <f t="shared" si="6"/>
        <v/>
      </c>
      <c r="AV33" t="str">
        <f t="shared" si="6"/>
        <v/>
      </c>
      <c r="AW33" t="str">
        <f t="shared" si="6"/>
        <v/>
      </c>
      <c r="AX33" t="str">
        <f t="shared" si="6"/>
        <v/>
      </c>
      <c r="AY33" t="str">
        <f t="shared" si="6"/>
        <v/>
      </c>
      <c r="AZ33" t="str">
        <f t="shared" si="6"/>
        <v/>
      </c>
      <c r="BA33" s="10" t="str">
        <f t="shared" si="6"/>
        <v/>
      </c>
    </row>
    <row r="34" spans="1:53" x14ac:dyDescent="0.25">
      <c r="A34" s="16">
        <v>30</v>
      </c>
      <c r="B34" s="16" t="str">
        <f>IF(VLOOKUP($A34,'geocodes &amp; mnemonic list'!$A$5:$D$55,2,FALSE)&lt;&gt;"",VLOOKUP($A34,'geocodes &amp; mnemonic list'!$A$5:$D$55,2,FALSE),"")</f>
        <v>San Francisco 1</v>
      </c>
      <c r="C34" s="16" t="str">
        <f>IF(VLOOKUP($A34,'geocodes &amp; mnemonic list'!$A$5:$E$104,5,FALSE)=0,"",VLOOKUP($A34,'geocodes &amp; mnemonic list'!$A$5:$E$104,5,FALSE))</f>
        <v>IUSA_DMSAF</v>
      </c>
      <c r="D34" s="9" t="str">
        <f t="shared" si="1"/>
        <v>FHHOLDQ.IUSA_DMSAF</v>
      </c>
      <c r="E34" t="str">
        <f t="shared" si="6"/>
        <v>FPOP2024Q.IUSA_DMSAF</v>
      </c>
      <c r="F34" t="str">
        <f t="shared" si="6"/>
        <v>FPOP2529Q.IUSA_DMSAF</v>
      </c>
      <c r="G34" t="str">
        <f t="shared" si="6"/>
        <v>FPOP3034Q.IUSA_DMSAF</v>
      </c>
      <c r="H34" t="str">
        <f t="shared" si="6"/>
        <v>FPOPQ.IUSA_DMSAF</v>
      </c>
      <c r="I34" t="str">
        <f t="shared" si="6"/>
        <v>FYHHMEDQ.IUSA_DMSAF</v>
      </c>
      <c r="J34" t="str">
        <f t="shared" si="6"/>
        <v>FET.IUSA_DMSAF</v>
      </c>
      <c r="K34" t="str">
        <f t="shared" si="6"/>
        <v>FCPIU.IUSA_DMSAF</v>
      </c>
      <c r="L34" t="str">
        <f t="shared" si="6"/>
        <v>FGDP$Q.IUSA_DMSAF</v>
      </c>
      <c r="M34" t="str">
        <f t="shared" si="6"/>
        <v>FHPNR.IUSA_DMSAF</v>
      </c>
      <c r="N34" t="str">
        <f t="shared" si="6"/>
        <v>FHPNM.IUSA_DMSAF</v>
      </c>
      <c r="O34" t="str">
        <f t="shared" si="6"/>
        <v>FHX1.IUSA_DMSAF</v>
      </c>
      <c r="P34" t="str">
        <f t="shared" si="6"/>
        <v>FHX1MED.IUSA_DMSAF</v>
      </c>
      <c r="Q34" t="str">
        <f t="shared" si="6"/>
        <v/>
      </c>
      <c r="R34" t="str">
        <f t="shared" si="6"/>
        <v/>
      </c>
      <c r="S34" t="str">
        <f t="shared" si="6"/>
        <v/>
      </c>
      <c r="T34" t="str">
        <f t="shared" si="6"/>
        <v/>
      </c>
      <c r="U34" t="str">
        <f t="shared" si="6"/>
        <v/>
      </c>
      <c r="V34" t="str">
        <f t="shared" si="6"/>
        <v/>
      </c>
      <c r="W34" t="str">
        <f t="shared" si="6"/>
        <v/>
      </c>
      <c r="X34" t="str">
        <f t="shared" si="6"/>
        <v/>
      </c>
      <c r="Y34" t="str">
        <f t="shared" si="6"/>
        <v/>
      </c>
      <c r="Z34" t="str">
        <f t="shared" si="6"/>
        <v/>
      </c>
      <c r="AA34" t="str">
        <f t="shared" si="6"/>
        <v/>
      </c>
      <c r="AB34" t="str">
        <f t="shared" si="6"/>
        <v/>
      </c>
      <c r="AC34" t="str">
        <f t="shared" si="6"/>
        <v/>
      </c>
      <c r="AD34" t="str">
        <f t="shared" si="6"/>
        <v/>
      </c>
      <c r="AE34" t="str">
        <f t="shared" si="6"/>
        <v/>
      </c>
      <c r="AF34" t="str">
        <f t="shared" si="6"/>
        <v/>
      </c>
      <c r="AG34" t="str">
        <f t="shared" si="6"/>
        <v/>
      </c>
      <c r="AH34" t="str">
        <f t="shared" si="6"/>
        <v/>
      </c>
      <c r="AI34" t="str">
        <f t="shared" si="6"/>
        <v/>
      </c>
      <c r="AJ34" t="str">
        <f t="shared" si="6"/>
        <v/>
      </c>
      <c r="AK34" t="str">
        <f t="shared" si="6"/>
        <v/>
      </c>
      <c r="AL34" t="str">
        <f t="shared" si="6"/>
        <v/>
      </c>
      <c r="AM34" t="str">
        <f t="shared" si="6"/>
        <v/>
      </c>
      <c r="AN34" t="str">
        <f t="shared" si="6"/>
        <v/>
      </c>
      <c r="AO34" t="str">
        <f t="shared" si="6"/>
        <v/>
      </c>
      <c r="AP34" t="str">
        <f t="shared" si="6"/>
        <v/>
      </c>
      <c r="AQ34" t="str">
        <f t="shared" si="6"/>
        <v/>
      </c>
      <c r="AR34" t="str">
        <f t="shared" si="6"/>
        <v/>
      </c>
      <c r="AS34" t="str">
        <f t="shared" si="6"/>
        <v/>
      </c>
      <c r="AT34" t="str">
        <f t="shared" si="6"/>
        <v/>
      </c>
      <c r="AU34" t="str">
        <f t="shared" si="6"/>
        <v/>
      </c>
      <c r="AV34" t="str">
        <f t="shared" si="6"/>
        <v/>
      </c>
      <c r="AW34" t="str">
        <f t="shared" si="6"/>
        <v/>
      </c>
      <c r="AX34" t="str">
        <f t="shared" si="6"/>
        <v/>
      </c>
      <c r="AY34" t="str">
        <f t="shared" si="6"/>
        <v/>
      </c>
      <c r="AZ34" t="str">
        <f t="shared" si="6"/>
        <v/>
      </c>
      <c r="BA34" s="10" t="str">
        <f t="shared" si="6"/>
        <v/>
      </c>
    </row>
    <row r="35" spans="1:53" x14ac:dyDescent="0.25">
      <c r="A35" s="16">
        <v>31</v>
      </c>
      <c r="B35" s="16" t="str">
        <f>IF(VLOOKUP($A35,'geocodes &amp; mnemonic list'!$A$5:$D$55,2,FALSE)&lt;&gt;"",VLOOKUP($A35,'geocodes &amp; mnemonic list'!$A$5:$D$55,2,FALSE),"")</f>
        <v>San Francisco 2</v>
      </c>
      <c r="C35" s="16" t="str">
        <f>IF(VLOOKUP($A35,'geocodes &amp; mnemonic list'!$A$5:$E$104,5,FALSE)=0,"",VLOOKUP($A35,'geocodes &amp; mnemonic list'!$A$5:$E$104,5,FALSE))</f>
        <v>IUSA_DMSRF</v>
      </c>
      <c r="D35" s="9" t="str">
        <f t="shared" si="1"/>
        <v>FHHOLDQ.IUSA_DMSRF</v>
      </c>
      <c r="E35" t="str">
        <f t="shared" si="6"/>
        <v>FPOP2024Q.IUSA_DMSRF</v>
      </c>
      <c r="F35" t="str">
        <f t="shared" si="6"/>
        <v>FPOP2529Q.IUSA_DMSRF</v>
      </c>
      <c r="G35" t="str">
        <f t="shared" si="6"/>
        <v>FPOP3034Q.IUSA_DMSRF</v>
      </c>
      <c r="H35" t="str">
        <f t="shared" si="6"/>
        <v>FPOPQ.IUSA_DMSRF</v>
      </c>
      <c r="I35" t="str">
        <f t="shared" si="6"/>
        <v>FYHHMEDQ.IUSA_DMSRF</v>
      </c>
      <c r="J35" t="str">
        <f t="shared" si="6"/>
        <v>FET.IUSA_DMSRF</v>
      </c>
      <c r="K35" t="str">
        <f t="shared" si="6"/>
        <v>FCPIU.IUSA_DMSRF</v>
      </c>
      <c r="L35" t="str">
        <f t="shared" si="6"/>
        <v>FGDP$Q.IUSA_DMSRF</v>
      </c>
      <c r="M35" t="str">
        <f t="shared" si="6"/>
        <v>FHPNR.IUSA_DMSRF</v>
      </c>
      <c r="N35" t="str">
        <f t="shared" si="6"/>
        <v>FHPNM.IUSA_DMSRF</v>
      </c>
      <c r="O35" t="str">
        <f t="shared" si="6"/>
        <v>FHX1.IUSA_DMSRF</v>
      </c>
      <c r="P35" t="str">
        <f t="shared" si="6"/>
        <v>FHX1MED.IUSA_DMSRF</v>
      </c>
      <c r="Q35" t="str">
        <f t="shared" si="6"/>
        <v/>
      </c>
      <c r="R35" t="str">
        <f t="shared" si="6"/>
        <v/>
      </c>
      <c r="S35" t="str">
        <f t="shared" si="6"/>
        <v/>
      </c>
      <c r="T35" t="str">
        <f t="shared" si="6"/>
        <v/>
      </c>
      <c r="U35" t="str">
        <f t="shared" si="6"/>
        <v/>
      </c>
      <c r="V35" t="str">
        <f t="shared" si="6"/>
        <v/>
      </c>
      <c r="W35" t="str">
        <f t="shared" si="6"/>
        <v/>
      </c>
      <c r="X35" t="str">
        <f t="shared" si="6"/>
        <v/>
      </c>
      <c r="Y35" t="str">
        <f t="shared" si="6"/>
        <v/>
      </c>
      <c r="Z35" t="str">
        <f t="shared" si="6"/>
        <v/>
      </c>
      <c r="AA35" t="str">
        <f t="shared" si="6"/>
        <v/>
      </c>
      <c r="AB35" t="str">
        <f t="shared" si="6"/>
        <v/>
      </c>
      <c r="AC35" t="str">
        <f t="shared" si="6"/>
        <v/>
      </c>
      <c r="AD35" t="str">
        <f t="shared" si="6"/>
        <v/>
      </c>
      <c r="AE35" t="str">
        <f t="shared" si="6"/>
        <v/>
      </c>
      <c r="AF35" t="str">
        <f t="shared" si="6"/>
        <v/>
      </c>
      <c r="AG35" t="str">
        <f t="shared" si="6"/>
        <v/>
      </c>
      <c r="AH35" t="str">
        <f t="shared" si="6"/>
        <v/>
      </c>
      <c r="AI35" t="str">
        <f t="shared" si="6"/>
        <v/>
      </c>
      <c r="AJ35" t="str">
        <f t="shared" si="6"/>
        <v/>
      </c>
      <c r="AK35" t="str">
        <f t="shared" si="6"/>
        <v/>
      </c>
      <c r="AL35" t="str">
        <f t="shared" si="6"/>
        <v/>
      </c>
      <c r="AM35" t="str">
        <f t="shared" si="6"/>
        <v/>
      </c>
      <c r="AN35" t="str">
        <f t="shared" si="6"/>
        <v/>
      </c>
      <c r="AO35" t="str">
        <f t="shared" si="6"/>
        <v/>
      </c>
      <c r="AP35" t="str">
        <f t="shared" si="6"/>
        <v/>
      </c>
      <c r="AQ35" t="str">
        <f t="shared" si="6"/>
        <v/>
      </c>
      <c r="AR35" t="str">
        <f t="shared" si="6"/>
        <v/>
      </c>
      <c r="AS35" t="str">
        <f t="shared" si="6"/>
        <v/>
      </c>
      <c r="AT35" t="str">
        <f t="shared" si="6"/>
        <v/>
      </c>
      <c r="AU35" t="str">
        <f t="shared" si="6"/>
        <v/>
      </c>
      <c r="AV35" t="str">
        <f t="shared" si="6"/>
        <v/>
      </c>
      <c r="AW35" t="str">
        <f t="shared" si="6"/>
        <v/>
      </c>
      <c r="AX35" t="str">
        <f t="shared" si="6"/>
        <v/>
      </c>
      <c r="AY35" t="str">
        <f t="shared" si="6"/>
        <v/>
      </c>
      <c r="AZ35" t="str">
        <f t="shared" si="6"/>
        <v/>
      </c>
      <c r="BA35" s="10" t="str">
        <f t="shared" si="6"/>
        <v/>
      </c>
    </row>
    <row r="36" spans="1:53" x14ac:dyDescent="0.25">
      <c r="A36" s="16">
        <v>32</v>
      </c>
      <c r="B36" s="16" t="str">
        <f>IF(VLOOKUP($A36,'geocodes &amp; mnemonic list'!$A$5:$D$55,2,FALSE)&lt;&gt;"",VLOOKUP($A36,'geocodes &amp; mnemonic list'!$A$5:$D$55,2,FALSE),"")</f>
        <v>Raleigh-Durham 1</v>
      </c>
      <c r="C36" s="16" t="str">
        <f>IF(VLOOKUP($A36,'geocodes &amp; mnemonic list'!$A$5:$E$104,5,FALSE)=0,"",VLOOKUP($A36,'geocodes &amp; mnemonic list'!$A$5:$E$104,5,FALSE))</f>
        <v>IUSA_MRAL</v>
      </c>
      <c r="D36" s="9" t="str">
        <f t="shared" si="1"/>
        <v>FHHOLDQ.IUSA_MRAL</v>
      </c>
      <c r="E36" t="str">
        <f t="shared" si="6"/>
        <v>FPOP2024Q.IUSA_MRAL</v>
      </c>
      <c r="F36" t="str">
        <f t="shared" si="6"/>
        <v>FPOP2529Q.IUSA_MRAL</v>
      </c>
      <c r="G36" t="str">
        <f t="shared" si="6"/>
        <v>FPOP3034Q.IUSA_MRAL</v>
      </c>
      <c r="H36" t="str">
        <f t="shared" si="6"/>
        <v>FPOPQ.IUSA_MRAL</v>
      </c>
      <c r="I36" t="str">
        <f t="shared" si="6"/>
        <v>FYHHMEDQ.IUSA_MRAL</v>
      </c>
      <c r="J36" t="str">
        <f t="shared" si="6"/>
        <v>FET.IUSA_MRAL</v>
      </c>
      <c r="K36" t="str">
        <f t="shared" si="6"/>
        <v>FCPIU.IUSA_MRAL</v>
      </c>
      <c r="L36" t="str">
        <f t="shared" si="6"/>
        <v>FGDP$Q.IUSA_MRAL</v>
      </c>
      <c r="M36" t="str">
        <f t="shared" si="6"/>
        <v>FHPNR.IUSA_MRAL</v>
      </c>
      <c r="N36" t="str">
        <f t="shared" si="6"/>
        <v>FHPNM.IUSA_MRAL</v>
      </c>
      <c r="O36" t="str">
        <f t="shared" si="6"/>
        <v>FHX1.IUSA_MRAL</v>
      </c>
      <c r="P36" t="str">
        <f t="shared" si="6"/>
        <v>FHX1MED.IUSA_MRAL</v>
      </c>
      <c r="Q36" t="str">
        <f t="shared" si="6"/>
        <v/>
      </c>
      <c r="R36" t="str">
        <f t="shared" si="6"/>
        <v/>
      </c>
      <c r="S36" t="str">
        <f t="shared" si="6"/>
        <v/>
      </c>
      <c r="T36" t="str">
        <f t="shared" si="6"/>
        <v/>
      </c>
      <c r="U36" t="str">
        <f t="shared" si="6"/>
        <v/>
      </c>
      <c r="V36" t="str">
        <f t="shared" si="6"/>
        <v/>
      </c>
      <c r="W36" t="str">
        <f t="shared" si="6"/>
        <v/>
      </c>
      <c r="X36" t="str">
        <f t="shared" si="6"/>
        <v/>
      </c>
      <c r="Y36" t="str">
        <f t="shared" si="6"/>
        <v/>
      </c>
      <c r="Z36" t="str">
        <f t="shared" si="6"/>
        <v/>
      </c>
      <c r="AA36" t="str">
        <f t="shared" si="6"/>
        <v/>
      </c>
      <c r="AB36" t="str">
        <f t="shared" si="6"/>
        <v/>
      </c>
      <c r="AC36" t="str">
        <f t="shared" si="6"/>
        <v/>
      </c>
      <c r="AD36" t="str">
        <f t="shared" si="6"/>
        <v/>
      </c>
      <c r="AE36" t="str">
        <f t="shared" ref="E36:BA41" si="7">IF(AND($C36&lt;&gt;"",AE$2&lt;&gt;""),AE$2&amp;"."&amp;$C36,"")</f>
        <v/>
      </c>
      <c r="AF36" t="str">
        <f t="shared" si="7"/>
        <v/>
      </c>
      <c r="AG36" t="str">
        <f t="shared" si="7"/>
        <v/>
      </c>
      <c r="AH36" t="str">
        <f t="shared" si="7"/>
        <v/>
      </c>
      <c r="AI36" t="str">
        <f t="shared" si="7"/>
        <v/>
      </c>
      <c r="AJ36" t="str">
        <f t="shared" si="7"/>
        <v/>
      </c>
      <c r="AK36" t="str">
        <f t="shared" si="7"/>
        <v/>
      </c>
      <c r="AL36" t="str">
        <f t="shared" si="7"/>
        <v/>
      </c>
      <c r="AM36" t="str">
        <f t="shared" si="7"/>
        <v/>
      </c>
      <c r="AN36" t="str">
        <f t="shared" si="7"/>
        <v/>
      </c>
      <c r="AO36" t="str">
        <f t="shared" si="7"/>
        <v/>
      </c>
      <c r="AP36" t="str">
        <f t="shared" si="7"/>
        <v/>
      </c>
      <c r="AQ36" t="str">
        <f t="shared" si="7"/>
        <v/>
      </c>
      <c r="AR36" t="str">
        <f t="shared" si="7"/>
        <v/>
      </c>
      <c r="AS36" t="str">
        <f t="shared" si="7"/>
        <v/>
      </c>
      <c r="AT36" t="str">
        <f t="shared" si="7"/>
        <v/>
      </c>
      <c r="AU36" t="str">
        <f t="shared" si="7"/>
        <v/>
      </c>
      <c r="AV36" t="str">
        <f t="shared" si="7"/>
        <v/>
      </c>
      <c r="AW36" t="str">
        <f t="shared" si="7"/>
        <v/>
      </c>
      <c r="AX36" t="str">
        <f t="shared" si="7"/>
        <v/>
      </c>
      <c r="AY36" t="str">
        <f t="shared" si="7"/>
        <v/>
      </c>
      <c r="AZ36" t="str">
        <f t="shared" si="7"/>
        <v/>
      </c>
      <c r="BA36" s="10" t="str">
        <f t="shared" si="7"/>
        <v/>
      </c>
    </row>
    <row r="37" spans="1:53" x14ac:dyDescent="0.25">
      <c r="A37" s="16">
        <v>33</v>
      </c>
      <c r="B37" s="16" t="str">
        <f>IF(VLOOKUP($A37,'geocodes &amp; mnemonic list'!$A$5:$D$55,2,FALSE)&lt;&gt;"",VLOOKUP($A37,'geocodes &amp; mnemonic list'!$A$5:$D$55,2,FALSE),"")</f>
        <v>Raleigh-Durham 2</v>
      </c>
      <c r="C37" s="16" t="str">
        <f>IF(VLOOKUP($A37,'geocodes &amp; mnemonic list'!$A$5:$E$104,5,FALSE)=0,"",VLOOKUP($A37,'geocodes &amp; mnemonic list'!$A$5:$E$104,5,FALSE))</f>
        <v>IUSA_MDUR</v>
      </c>
      <c r="D37" s="9" t="str">
        <f t="shared" si="1"/>
        <v>FHHOLDQ.IUSA_MDUR</v>
      </c>
      <c r="E37" t="str">
        <f t="shared" si="7"/>
        <v>FPOP2024Q.IUSA_MDUR</v>
      </c>
      <c r="F37" t="str">
        <f t="shared" si="7"/>
        <v>FPOP2529Q.IUSA_MDUR</v>
      </c>
      <c r="G37" t="str">
        <f t="shared" si="7"/>
        <v>FPOP3034Q.IUSA_MDUR</v>
      </c>
      <c r="H37" t="str">
        <f t="shared" si="7"/>
        <v>FPOPQ.IUSA_MDUR</v>
      </c>
      <c r="I37" t="str">
        <f t="shared" si="7"/>
        <v>FYHHMEDQ.IUSA_MDUR</v>
      </c>
      <c r="J37" t="str">
        <f t="shared" si="7"/>
        <v>FET.IUSA_MDUR</v>
      </c>
      <c r="K37" t="str">
        <f t="shared" si="7"/>
        <v>FCPIU.IUSA_MDUR</v>
      </c>
      <c r="L37" t="str">
        <f t="shared" si="7"/>
        <v>FGDP$Q.IUSA_MDUR</v>
      </c>
      <c r="M37" t="str">
        <f t="shared" si="7"/>
        <v>FHPNR.IUSA_MDUR</v>
      </c>
      <c r="N37" t="str">
        <f t="shared" si="7"/>
        <v>FHPNM.IUSA_MDUR</v>
      </c>
      <c r="O37" t="str">
        <f t="shared" si="7"/>
        <v>FHX1.IUSA_MDUR</v>
      </c>
      <c r="P37" t="str">
        <f t="shared" si="7"/>
        <v>FHX1MED.IUSA_MDUR</v>
      </c>
      <c r="Q37" t="str">
        <f t="shared" si="7"/>
        <v/>
      </c>
      <c r="R37" t="str">
        <f t="shared" si="7"/>
        <v/>
      </c>
      <c r="S37" t="str">
        <f t="shared" si="7"/>
        <v/>
      </c>
      <c r="T37" t="str">
        <f t="shared" si="7"/>
        <v/>
      </c>
      <c r="U37" t="str">
        <f t="shared" si="7"/>
        <v/>
      </c>
      <c r="V37" t="str">
        <f t="shared" si="7"/>
        <v/>
      </c>
      <c r="W37" t="str">
        <f t="shared" si="7"/>
        <v/>
      </c>
      <c r="X37" t="str">
        <f t="shared" si="7"/>
        <v/>
      </c>
      <c r="Y37" t="str">
        <f t="shared" si="7"/>
        <v/>
      </c>
      <c r="Z37" t="str">
        <f t="shared" si="7"/>
        <v/>
      </c>
      <c r="AA37" t="str">
        <f t="shared" si="7"/>
        <v/>
      </c>
      <c r="AB37" t="str">
        <f t="shared" si="7"/>
        <v/>
      </c>
      <c r="AC37" t="str">
        <f t="shared" si="7"/>
        <v/>
      </c>
      <c r="AD37" t="str">
        <f t="shared" si="7"/>
        <v/>
      </c>
      <c r="AE37" t="str">
        <f t="shared" si="7"/>
        <v/>
      </c>
      <c r="AF37" t="str">
        <f t="shared" si="7"/>
        <v/>
      </c>
      <c r="AG37" t="str">
        <f t="shared" si="7"/>
        <v/>
      </c>
      <c r="AH37" t="str">
        <f t="shared" si="7"/>
        <v/>
      </c>
      <c r="AI37" t="str">
        <f t="shared" si="7"/>
        <v/>
      </c>
      <c r="AJ37" t="str">
        <f t="shared" si="7"/>
        <v/>
      </c>
      <c r="AK37" t="str">
        <f t="shared" si="7"/>
        <v/>
      </c>
      <c r="AL37" t="str">
        <f t="shared" si="7"/>
        <v/>
      </c>
      <c r="AM37" t="str">
        <f t="shared" si="7"/>
        <v/>
      </c>
      <c r="AN37" t="str">
        <f t="shared" si="7"/>
        <v/>
      </c>
      <c r="AO37" t="str">
        <f t="shared" si="7"/>
        <v/>
      </c>
      <c r="AP37" t="str">
        <f t="shared" si="7"/>
        <v/>
      </c>
      <c r="AQ37" t="str">
        <f t="shared" si="7"/>
        <v/>
      </c>
      <c r="AR37" t="str">
        <f t="shared" si="7"/>
        <v/>
      </c>
      <c r="AS37" t="str">
        <f t="shared" si="7"/>
        <v/>
      </c>
      <c r="AT37" t="str">
        <f t="shared" si="7"/>
        <v/>
      </c>
      <c r="AU37" t="str">
        <f t="shared" si="7"/>
        <v/>
      </c>
      <c r="AV37" t="str">
        <f t="shared" si="7"/>
        <v/>
      </c>
      <c r="AW37" t="str">
        <f t="shared" si="7"/>
        <v/>
      </c>
      <c r="AX37" t="str">
        <f t="shared" si="7"/>
        <v/>
      </c>
      <c r="AY37" t="str">
        <f t="shared" si="7"/>
        <v/>
      </c>
      <c r="AZ37" t="str">
        <f t="shared" si="7"/>
        <v/>
      </c>
      <c r="BA37" s="10" t="str">
        <f t="shared" si="7"/>
        <v/>
      </c>
    </row>
    <row r="38" spans="1:53" x14ac:dyDescent="0.25">
      <c r="A38" s="16">
        <v>34</v>
      </c>
      <c r="B38" s="16" t="str">
        <f>IF(VLOOKUP($A38,'geocodes &amp; mnemonic list'!$A$5:$D$55,2,FALSE)&lt;&gt;"",VLOOKUP($A38,'geocodes &amp; mnemonic list'!$A$5:$D$55,2,FALSE),"")</f>
        <v/>
      </c>
      <c r="C38" s="16" t="str">
        <f>IF(VLOOKUP($A38,'geocodes &amp; mnemonic list'!$A$5:$E$104,5,FALSE)=0,"",VLOOKUP($A38,'geocodes &amp; mnemonic list'!$A$5:$E$104,5,FALSE))</f>
        <v/>
      </c>
      <c r="D38" s="9" t="str">
        <f t="shared" si="1"/>
        <v/>
      </c>
      <c r="E38" t="str">
        <f t="shared" si="7"/>
        <v/>
      </c>
      <c r="F38" t="str">
        <f t="shared" si="7"/>
        <v/>
      </c>
      <c r="G38" t="str">
        <f t="shared" si="7"/>
        <v/>
      </c>
      <c r="H38" t="str">
        <f t="shared" si="7"/>
        <v/>
      </c>
      <c r="I38" t="str">
        <f t="shared" si="7"/>
        <v/>
      </c>
      <c r="J38" t="str">
        <f t="shared" si="7"/>
        <v/>
      </c>
      <c r="K38" t="str">
        <f t="shared" si="7"/>
        <v/>
      </c>
      <c r="L38" t="str">
        <f t="shared" si="7"/>
        <v/>
      </c>
      <c r="M38" t="str">
        <f t="shared" si="7"/>
        <v/>
      </c>
      <c r="N38" t="str">
        <f t="shared" si="7"/>
        <v/>
      </c>
      <c r="O38" t="str">
        <f t="shared" si="7"/>
        <v/>
      </c>
      <c r="P38" t="str">
        <f t="shared" si="7"/>
        <v/>
      </c>
      <c r="Q38" t="str">
        <f t="shared" si="7"/>
        <v/>
      </c>
      <c r="R38" t="str">
        <f t="shared" si="7"/>
        <v/>
      </c>
      <c r="S38" t="str">
        <f t="shared" si="7"/>
        <v/>
      </c>
      <c r="T38" t="str">
        <f t="shared" si="7"/>
        <v/>
      </c>
      <c r="U38" t="str">
        <f t="shared" si="7"/>
        <v/>
      </c>
      <c r="V38" t="str">
        <f t="shared" si="7"/>
        <v/>
      </c>
      <c r="W38" t="str">
        <f t="shared" si="7"/>
        <v/>
      </c>
      <c r="X38" t="str">
        <f t="shared" si="7"/>
        <v/>
      </c>
      <c r="Y38" t="str">
        <f t="shared" si="7"/>
        <v/>
      </c>
      <c r="Z38" t="str">
        <f t="shared" si="7"/>
        <v/>
      </c>
      <c r="AA38" t="str">
        <f t="shared" si="7"/>
        <v/>
      </c>
      <c r="AB38" t="str">
        <f t="shared" si="7"/>
        <v/>
      </c>
      <c r="AC38" t="str">
        <f t="shared" si="7"/>
        <v/>
      </c>
      <c r="AD38" t="str">
        <f t="shared" si="7"/>
        <v/>
      </c>
      <c r="AE38" t="str">
        <f t="shared" si="7"/>
        <v/>
      </c>
      <c r="AF38" t="str">
        <f t="shared" si="7"/>
        <v/>
      </c>
      <c r="AG38" t="str">
        <f t="shared" si="7"/>
        <v/>
      </c>
      <c r="AH38" t="str">
        <f t="shared" si="7"/>
        <v/>
      </c>
      <c r="AI38" t="str">
        <f t="shared" si="7"/>
        <v/>
      </c>
      <c r="AJ38" t="str">
        <f t="shared" si="7"/>
        <v/>
      </c>
      <c r="AK38" t="str">
        <f t="shared" si="7"/>
        <v/>
      </c>
      <c r="AL38" t="str">
        <f t="shared" si="7"/>
        <v/>
      </c>
      <c r="AM38" t="str">
        <f t="shared" si="7"/>
        <v/>
      </c>
      <c r="AN38" t="str">
        <f t="shared" si="7"/>
        <v/>
      </c>
      <c r="AO38" t="str">
        <f t="shared" si="7"/>
        <v/>
      </c>
      <c r="AP38" t="str">
        <f t="shared" si="7"/>
        <v/>
      </c>
      <c r="AQ38" t="str">
        <f t="shared" si="7"/>
        <v/>
      </c>
      <c r="AR38" t="str">
        <f t="shared" si="7"/>
        <v/>
      </c>
      <c r="AS38" t="str">
        <f t="shared" si="7"/>
        <v/>
      </c>
      <c r="AT38" t="str">
        <f t="shared" si="7"/>
        <v/>
      </c>
      <c r="AU38" t="str">
        <f t="shared" si="7"/>
        <v/>
      </c>
      <c r="AV38" t="str">
        <f t="shared" si="7"/>
        <v/>
      </c>
      <c r="AW38" t="str">
        <f t="shared" si="7"/>
        <v/>
      </c>
      <c r="AX38" t="str">
        <f t="shared" si="7"/>
        <v/>
      </c>
      <c r="AY38" t="str">
        <f t="shared" si="7"/>
        <v/>
      </c>
      <c r="AZ38" t="str">
        <f t="shared" si="7"/>
        <v/>
      </c>
      <c r="BA38" s="10" t="str">
        <f t="shared" si="7"/>
        <v/>
      </c>
    </row>
    <row r="39" spans="1:53" x14ac:dyDescent="0.25">
      <c r="A39" s="16">
        <v>35</v>
      </c>
      <c r="B39" s="16" t="str">
        <f>IF(VLOOKUP($A39,'geocodes &amp; mnemonic list'!$A$5:$D$55,2,FALSE)&lt;&gt;"",VLOOKUP($A39,'geocodes &amp; mnemonic list'!$A$5:$D$55,2,FALSE),"")</f>
        <v/>
      </c>
      <c r="C39" s="16" t="str">
        <f>IF(VLOOKUP($A39,'geocodes &amp; mnemonic list'!$A$5:$E$104,5,FALSE)=0,"",VLOOKUP($A39,'geocodes &amp; mnemonic list'!$A$5:$E$104,5,FALSE))</f>
        <v/>
      </c>
      <c r="D39" s="9" t="str">
        <f t="shared" si="1"/>
        <v/>
      </c>
      <c r="E39" t="str">
        <f t="shared" si="7"/>
        <v/>
      </c>
      <c r="F39" t="str">
        <f t="shared" si="7"/>
        <v/>
      </c>
      <c r="G39" t="str">
        <f t="shared" si="7"/>
        <v/>
      </c>
      <c r="H39" t="str">
        <f t="shared" si="7"/>
        <v/>
      </c>
      <c r="I39" t="str">
        <f t="shared" si="7"/>
        <v/>
      </c>
      <c r="J39" t="str">
        <f t="shared" si="7"/>
        <v/>
      </c>
      <c r="K39" t="str">
        <f t="shared" si="7"/>
        <v/>
      </c>
      <c r="L39" t="str">
        <f t="shared" si="7"/>
        <v/>
      </c>
      <c r="M39" t="str">
        <f t="shared" si="7"/>
        <v/>
      </c>
      <c r="N39" t="str">
        <f t="shared" si="7"/>
        <v/>
      </c>
      <c r="O39" t="str">
        <f t="shared" si="7"/>
        <v/>
      </c>
      <c r="P39" t="str">
        <f t="shared" si="7"/>
        <v/>
      </c>
      <c r="Q39" t="str">
        <f t="shared" si="7"/>
        <v/>
      </c>
      <c r="R39" t="str">
        <f t="shared" si="7"/>
        <v/>
      </c>
      <c r="S39" t="str">
        <f t="shared" si="7"/>
        <v/>
      </c>
      <c r="T39" t="str">
        <f t="shared" si="7"/>
        <v/>
      </c>
      <c r="U39" t="str">
        <f t="shared" si="7"/>
        <v/>
      </c>
      <c r="V39" t="str">
        <f t="shared" si="7"/>
        <v/>
      </c>
      <c r="W39" t="str">
        <f t="shared" si="7"/>
        <v/>
      </c>
      <c r="X39" t="str">
        <f t="shared" si="7"/>
        <v/>
      </c>
      <c r="Y39" t="str">
        <f t="shared" si="7"/>
        <v/>
      </c>
      <c r="Z39" t="str">
        <f t="shared" si="7"/>
        <v/>
      </c>
      <c r="AA39" t="str">
        <f t="shared" si="7"/>
        <v/>
      </c>
      <c r="AB39" t="str">
        <f t="shared" si="7"/>
        <v/>
      </c>
      <c r="AC39" t="str">
        <f t="shared" si="7"/>
        <v/>
      </c>
      <c r="AD39" t="str">
        <f t="shared" si="7"/>
        <v/>
      </c>
      <c r="AE39" t="str">
        <f t="shared" si="7"/>
        <v/>
      </c>
      <c r="AF39" t="str">
        <f t="shared" si="7"/>
        <v/>
      </c>
      <c r="AG39" t="str">
        <f t="shared" si="7"/>
        <v/>
      </c>
      <c r="AH39" t="str">
        <f t="shared" si="7"/>
        <v/>
      </c>
      <c r="AI39" t="str">
        <f t="shared" si="7"/>
        <v/>
      </c>
      <c r="AJ39" t="str">
        <f t="shared" si="7"/>
        <v/>
      </c>
      <c r="AK39" t="str">
        <f t="shared" si="7"/>
        <v/>
      </c>
      <c r="AL39" t="str">
        <f t="shared" si="7"/>
        <v/>
      </c>
      <c r="AM39" t="str">
        <f t="shared" si="7"/>
        <v/>
      </c>
      <c r="AN39" t="str">
        <f t="shared" si="7"/>
        <v/>
      </c>
      <c r="AO39" t="str">
        <f t="shared" si="7"/>
        <v/>
      </c>
      <c r="AP39" t="str">
        <f t="shared" si="7"/>
        <v/>
      </c>
      <c r="AQ39" t="str">
        <f t="shared" si="7"/>
        <v/>
      </c>
      <c r="AR39" t="str">
        <f t="shared" si="7"/>
        <v/>
      </c>
      <c r="AS39" t="str">
        <f t="shared" si="7"/>
        <v/>
      </c>
      <c r="AT39" t="str">
        <f t="shared" si="7"/>
        <v/>
      </c>
      <c r="AU39" t="str">
        <f t="shared" si="7"/>
        <v/>
      </c>
      <c r="AV39" t="str">
        <f t="shared" si="7"/>
        <v/>
      </c>
      <c r="AW39" t="str">
        <f t="shared" si="7"/>
        <v/>
      </c>
      <c r="AX39" t="str">
        <f t="shared" si="7"/>
        <v/>
      </c>
      <c r="AY39" t="str">
        <f t="shared" si="7"/>
        <v/>
      </c>
      <c r="AZ39" t="str">
        <f t="shared" si="7"/>
        <v/>
      </c>
      <c r="BA39" s="10" t="str">
        <f t="shared" si="7"/>
        <v/>
      </c>
    </row>
    <row r="40" spans="1:53" x14ac:dyDescent="0.25">
      <c r="A40" s="16">
        <v>36</v>
      </c>
      <c r="B40" s="16" t="str">
        <f>IF(VLOOKUP($A40,'geocodes &amp; mnemonic list'!$A$5:$D$55,2,FALSE)&lt;&gt;"",VLOOKUP($A40,'geocodes &amp; mnemonic list'!$A$5:$D$55,2,FALSE),"")</f>
        <v/>
      </c>
      <c r="C40" s="16" t="str">
        <f>IF(VLOOKUP($A40,'geocodes &amp; mnemonic list'!$A$5:$E$104,5,FALSE)=0,"",VLOOKUP($A40,'geocodes &amp; mnemonic list'!$A$5:$E$104,5,FALSE))</f>
        <v/>
      </c>
      <c r="D40" s="9" t="str">
        <f t="shared" si="1"/>
        <v/>
      </c>
      <c r="E40" t="str">
        <f t="shared" si="7"/>
        <v/>
      </c>
      <c r="F40" t="str">
        <f t="shared" si="7"/>
        <v/>
      </c>
      <c r="G40" t="str">
        <f t="shared" si="7"/>
        <v/>
      </c>
      <c r="H40" t="str">
        <f t="shared" si="7"/>
        <v/>
      </c>
      <c r="I40" t="str">
        <f t="shared" si="7"/>
        <v/>
      </c>
      <c r="J40" t="str">
        <f t="shared" si="7"/>
        <v/>
      </c>
      <c r="K40" t="str">
        <f t="shared" si="7"/>
        <v/>
      </c>
      <c r="L40" t="str">
        <f t="shared" si="7"/>
        <v/>
      </c>
      <c r="M40" t="str">
        <f t="shared" si="7"/>
        <v/>
      </c>
      <c r="N40" t="str">
        <f t="shared" si="7"/>
        <v/>
      </c>
      <c r="O40" t="str">
        <f t="shared" si="7"/>
        <v/>
      </c>
      <c r="P40" t="str">
        <f t="shared" si="7"/>
        <v/>
      </c>
      <c r="Q40" t="str">
        <f t="shared" si="7"/>
        <v/>
      </c>
      <c r="R40" t="str">
        <f t="shared" si="7"/>
        <v/>
      </c>
      <c r="S40" t="str">
        <f t="shared" si="7"/>
        <v/>
      </c>
      <c r="T40" t="str">
        <f t="shared" si="7"/>
        <v/>
      </c>
      <c r="U40" t="str">
        <f t="shared" si="7"/>
        <v/>
      </c>
      <c r="V40" t="str">
        <f t="shared" si="7"/>
        <v/>
      </c>
      <c r="W40" t="str">
        <f t="shared" si="7"/>
        <v/>
      </c>
      <c r="X40" t="str">
        <f t="shared" si="7"/>
        <v/>
      </c>
      <c r="Y40" t="str">
        <f t="shared" si="7"/>
        <v/>
      </c>
      <c r="Z40" t="str">
        <f t="shared" si="7"/>
        <v/>
      </c>
      <c r="AA40" t="str">
        <f t="shared" si="7"/>
        <v/>
      </c>
      <c r="AB40" t="str">
        <f t="shared" si="7"/>
        <v/>
      </c>
      <c r="AC40" t="str">
        <f t="shared" si="7"/>
        <v/>
      </c>
      <c r="AD40" t="str">
        <f t="shared" si="7"/>
        <v/>
      </c>
      <c r="AE40" t="str">
        <f t="shared" si="7"/>
        <v/>
      </c>
      <c r="AF40" t="str">
        <f t="shared" si="7"/>
        <v/>
      </c>
      <c r="AG40" t="str">
        <f t="shared" si="7"/>
        <v/>
      </c>
      <c r="AH40" t="str">
        <f t="shared" si="7"/>
        <v/>
      </c>
      <c r="AI40" t="str">
        <f t="shared" si="7"/>
        <v/>
      </c>
      <c r="AJ40" t="str">
        <f t="shared" si="7"/>
        <v/>
      </c>
      <c r="AK40" t="str">
        <f t="shared" si="7"/>
        <v/>
      </c>
      <c r="AL40" t="str">
        <f t="shared" si="7"/>
        <v/>
      </c>
      <c r="AM40" t="str">
        <f t="shared" si="7"/>
        <v/>
      </c>
      <c r="AN40" t="str">
        <f t="shared" si="7"/>
        <v/>
      </c>
      <c r="AO40" t="str">
        <f t="shared" si="7"/>
        <v/>
      </c>
      <c r="AP40" t="str">
        <f t="shared" si="7"/>
        <v/>
      </c>
      <c r="AQ40" t="str">
        <f t="shared" si="7"/>
        <v/>
      </c>
      <c r="AR40" t="str">
        <f t="shared" si="7"/>
        <v/>
      </c>
      <c r="AS40" t="str">
        <f t="shared" si="7"/>
        <v/>
      </c>
      <c r="AT40" t="str">
        <f t="shared" si="7"/>
        <v/>
      </c>
      <c r="AU40" t="str">
        <f t="shared" si="7"/>
        <v/>
      </c>
      <c r="AV40" t="str">
        <f t="shared" si="7"/>
        <v/>
      </c>
      <c r="AW40" t="str">
        <f t="shared" si="7"/>
        <v/>
      </c>
      <c r="AX40" t="str">
        <f t="shared" si="7"/>
        <v/>
      </c>
      <c r="AY40" t="str">
        <f t="shared" si="7"/>
        <v/>
      </c>
      <c r="AZ40" t="str">
        <f t="shared" si="7"/>
        <v/>
      </c>
      <c r="BA40" s="10" t="str">
        <f t="shared" si="7"/>
        <v/>
      </c>
    </row>
    <row r="41" spans="1:53" x14ac:dyDescent="0.25">
      <c r="A41" s="16">
        <v>37</v>
      </c>
      <c r="B41" s="16" t="str">
        <f>IF(VLOOKUP($A41,'geocodes &amp; mnemonic list'!$A$5:$D$55,2,FALSE)&lt;&gt;"",VLOOKUP($A41,'geocodes &amp; mnemonic list'!$A$5:$D$55,2,FALSE),"")</f>
        <v/>
      </c>
      <c r="C41" s="16" t="str">
        <f>IF(VLOOKUP($A41,'geocodes &amp; mnemonic list'!$A$5:$E$104,5,FALSE)=0,"",VLOOKUP($A41,'geocodes &amp; mnemonic list'!$A$5:$E$104,5,FALSE))</f>
        <v/>
      </c>
      <c r="D41" s="9" t="str">
        <f t="shared" si="1"/>
        <v/>
      </c>
      <c r="E41" t="str">
        <f t="shared" si="7"/>
        <v/>
      </c>
      <c r="F41" t="str">
        <f t="shared" si="7"/>
        <v/>
      </c>
      <c r="G41" t="str">
        <f t="shared" si="7"/>
        <v/>
      </c>
      <c r="H41" t="str">
        <f t="shared" si="7"/>
        <v/>
      </c>
      <c r="I41" t="str">
        <f t="shared" si="7"/>
        <v/>
      </c>
      <c r="J41" t="str">
        <f t="shared" si="7"/>
        <v/>
      </c>
      <c r="K41" t="str">
        <f t="shared" si="7"/>
        <v/>
      </c>
      <c r="L41" t="str">
        <f t="shared" si="7"/>
        <v/>
      </c>
      <c r="M41" t="str">
        <f t="shared" si="7"/>
        <v/>
      </c>
      <c r="N41" t="str">
        <f t="shared" si="7"/>
        <v/>
      </c>
      <c r="O41" t="str">
        <f t="shared" si="7"/>
        <v/>
      </c>
      <c r="P41" t="str">
        <f t="shared" si="7"/>
        <v/>
      </c>
      <c r="Q41" t="str">
        <f t="shared" si="7"/>
        <v/>
      </c>
      <c r="R41" t="str">
        <f t="shared" si="7"/>
        <v/>
      </c>
      <c r="S41" t="str">
        <f t="shared" si="7"/>
        <v/>
      </c>
      <c r="T41" t="str">
        <f t="shared" si="7"/>
        <v/>
      </c>
      <c r="U41" t="str">
        <f t="shared" si="7"/>
        <v/>
      </c>
      <c r="V41" t="str">
        <f t="shared" si="7"/>
        <v/>
      </c>
      <c r="W41" t="str">
        <f t="shared" si="7"/>
        <v/>
      </c>
      <c r="X41" t="str">
        <f t="shared" si="7"/>
        <v/>
      </c>
      <c r="Y41" t="str">
        <f t="shared" si="7"/>
        <v/>
      </c>
      <c r="Z41" t="str">
        <f t="shared" si="7"/>
        <v/>
      </c>
      <c r="AA41" t="str">
        <f t="shared" si="7"/>
        <v/>
      </c>
      <c r="AB41" t="str">
        <f t="shared" si="7"/>
        <v/>
      </c>
      <c r="AC41" t="str">
        <f t="shared" si="7"/>
        <v/>
      </c>
      <c r="AD41" t="str">
        <f t="shared" si="7"/>
        <v/>
      </c>
      <c r="AE41" t="str">
        <f t="shared" si="7"/>
        <v/>
      </c>
      <c r="AF41" t="str">
        <f t="shared" si="7"/>
        <v/>
      </c>
      <c r="AG41" t="str">
        <f t="shared" si="7"/>
        <v/>
      </c>
      <c r="AH41" t="str">
        <f t="shared" si="7"/>
        <v/>
      </c>
      <c r="AI41" t="str">
        <f t="shared" si="7"/>
        <v/>
      </c>
      <c r="AJ41" t="str">
        <f t="shared" si="7"/>
        <v/>
      </c>
      <c r="AK41" t="str">
        <f t="shared" si="7"/>
        <v/>
      </c>
      <c r="AL41" t="str">
        <f t="shared" si="7"/>
        <v/>
      </c>
      <c r="AM41" t="str">
        <f t="shared" si="7"/>
        <v/>
      </c>
      <c r="AN41" t="str">
        <f t="shared" si="7"/>
        <v/>
      </c>
      <c r="AO41" t="str">
        <f t="shared" ref="E41:BA46" si="8">IF(AND($C41&lt;&gt;"",AO$2&lt;&gt;""),AO$2&amp;"."&amp;$C41,"")</f>
        <v/>
      </c>
      <c r="AP41" t="str">
        <f t="shared" si="8"/>
        <v/>
      </c>
      <c r="AQ41" t="str">
        <f t="shared" si="8"/>
        <v/>
      </c>
      <c r="AR41" t="str">
        <f t="shared" si="8"/>
        <v/>
      </c>
      <c r="AS41" t="str">
        <f t="shared" si="8"/>
        <v/>
      </c>
      <c r="AT41" t="str">
        <f t="shared" si="8"/>
        <v/>
      </c>
      <c r="AU41" t="str">
        <f t="shared" si="8"/>
        <v/>
      </c>
      <c r="AV41" t="str">
        <f t="shared" si="8"/>
        <v/>
      </c>
      <c r="AW41" t="str">
        <f t="shared" si="8"/>
        <v/>
      </c>
      <c r="AX41" t="str">
        <f t="shared" si="8"/>
        <v/>
      </c>
      <c r="AY41" t="str">
        <f t="shared" si="8"/>
        <v/>
      </c>
      <c r="AZ41" t="str">
        <f t="shared" si="8"/>
        <v/>
      </c>
      <c r="BA41" s="10" t="str">
        <f t="shared" si="8"/>
        <v/>
      </c>
    </row>
    <row r="42" spans="1:53" x14ac:dyDescent="0.25">
      <c r="A42" s="16">
        <v>38</v>
      </c>
      <c r="B42" s="16" t="str">
        <f>IF(VLOOKUP($A42,'geocodes &amp; mnemonic list'!$A$5:$D$55,2,FALSE)&lt;&gt;"",VLOOKUP($A42,'geocodes &amp; mnemonic list'!$A$5:$D$55,2,FALSE),"")</f>
        <v/>
      </c>
      <c r="C42" s="16" t="str">
        <f>IF(VLOOKUP($A42,'geocodes &amp; mnemonic list'!$A$5:$E$104,5,FALSE)=0,"",VLOOKUP($A42,'geocodes &amp; mnemonic list'!$A$5:$E$104,5,FALSE))</f>
        <v/>
      </c>
      <c r="D42" s="9" t="str">
        <f t="shared" si="1"/>
        <v/>
      </c>
      <c r="E42" t="str">
        <f t="shared" si="8"/>
        <v/>
      </c>
      <c r="F42" t="str">
        <f t="shared" si="8"/>
        <v/>
      </c>
      <c r="G42" t="str">
        <f t="shared" si="8"/>
        <v/>
      </c>
      <c r="H42" t="str">
        <f t="shared" si="8"/>
        <v/>
      </c>
      <c r="I42" t="str">
        <f t="shared" si="8"/>
        <v/>
      </c>
      <c r="J42" t="str">
        <f t="shared" si="8"/>
        <v/>
      </c>
      <c r="K42" t="str">
        <f t="shared" si="8"/>
        <v/>
      </c>
      <c r="L42" t="str">
        <f t="shared" si="8"/>
        <v/>
      </c>
      <c r="M42" t="str">
        <f t="shared" si="8"/>
        <v/>
      </c>
      <c r="N42" t="str">
        <f t="shared" si="8"/>
        <v/>
      </c>
      <c r="O42" t="str">
        <f t="shared" si="8"/>
        <v/>
      </c>
      <c r="P42" t="str">
        <f t="shared" si="8"/>
        <v/>
      </c>
      <c r="Q42" t="str">
        <f t="shared" si="8"/>
        <v/>
      </c>
      <c r="R42" t="str">
        <f t="shared" si="8"/>
        <v/>
      </c>
      <c r="S42" t="str">
        <f t="shared" si="8"/>
        <v/>
      </c>
      <c r="T42" t="str">
        <f t="shared" si="8"/>
        <v/>
      </c>
      <c r="U42" t="str">
        <f t="shared" si="8"/>
        <v/>
      </c>
      <c r="V42" t="str">
        <f t="shared" si="8"/>
        <v/>
      </c>
      <c r="W42" t="str">
        <f t="shared" si="8"/>
        <v/>
      </c>
      <c r="X42" t="str">
        <f t="shared" si="8"/>
        <v/>
      </c>
      <c r="Y42" t="str">
        <f t="shared" si="8"/>
        <v/>
      </c>
      <c r="Z42" t="str">
        <f t="shared" si="8"/>
        <v/>
      </c>
      <c r="AA42" t="str">
        <f t="shared" si="8"/>
        <v/>
      </c>
      <c r="AB42" t="str">
        <f t="shared" si="8"/>
        <v/>
      </c>
      <c r="AC42" t="str">
        <f t="shared" si="8"/>
        <v/>
      </c>
      <c r="AD42" t="str">
        <f t="shared" si="8"/>
        <v/>
      </c>
      <c r="AE42" t="str">
        <f t="shared" si="8"/>
        <v/>
      </c>
      <c r="AF42" t="str">
        <f t="shared" si="8"/>
        <v/>
      </c>
      <c r="AG42" t="str">
        <f t="shared" si="8"/>
        <v/>
      </c>
      <c r="AH42" t="str">
        <f t="shared" si="8"/>
        <v/>
      </c>
      <c r="AI42" t="str">
        <f t="shared" si="8"/>
        <v/>
      </c>
      <c r="AJ42" t="str">
        <f t="shared" si="8"/>
        <v/>
      </c>
      <c r="AK42" t="str">
        <f t="shared" si="8"/>
        <v/>
      </c>
      <c r="AL42" t="str">
        <f t="shared" si="8"/>
        <v/>
      </c>
      <c r="AM42" t="str">
        <f t="shared" si="8"/>
        <v/>
      </c>
      <c r="AN42" t="str">
        <f t="shared" si="8"/>
        <v/>
      </c>
      <c r="AO42" t="str">
        <f t="shared" si="8"/>
        <v/>
      </c>
      <c r="AP42" t="str">
        <f t="shared" si="8"/>
        <v/>
      </c>
      <c r="AQ42" t="str">
        <f t="shared" si="8"/>
        <v/>
      </c>
      <c r="AR42" t="str">
        <f t="shared" si="8"/>
        <v/>
      </c>
      <c r="AS42" t="str">
        <f t="shared" si="8"/>
        <v/>
      </c>
      <c r="AT42" t="str">
        <f t="shared" si="8"/>
        <v/>
      </c>
      <c r="AU42" t="str">
        <f t="shared" si="8"/>
        <v/>
      </c>
      <c r="AV42" t="str">
        <f t="shared" si="8"/>
        <v/>
      </c>
      <c r="AW42" t="str">
        <f t="shared" si="8"/>
        <v/>
      </c>
      <c r="AX42" t="str">
        <f t="shared" si="8"/>
        <v/>
      </c>
      <c r="AY42" t="str">
        <f t="shared" si="8"/>
        <v/>
      </c>
      <c r="AZ42" t="str">
        <f t="shared" si="8"/>
        <v/>
      </c>
      <c r="BA42" s="10" t="str">
        <f t="shared" si="8"/>
        <v/>
      </c>
    </row>
    <row r="43" spans="1:53" x14ac:dyDescent="0.25">
      <c r="A43" s="16">
        <v>39</v>
      </c>
      <c r="B43" s="16" t="str">
        <f>IF(VLOOKUP($A43,'geocodes &amp; mnemonic list'!$A$5:$D$55,2,FALSE)&lt;&gt;"",VLOOKUP($A43,'geocodes &amp; mnemonic list'!$A$5:$D$55,2,FALSE),"")</f>
        <v/>
      </c>
      <c r="C43" s="16" t="str">
        <f>IF(VLOOKUP($A43,'geocodes &amp; mnemonic list'!$A$5:$E$104,5,FALSE)=0,"",VLOOKUP($A43,'geocodes &amp; mnemonic list'!$A$5:$E$104,5,FALSE))</f>
        <v/>
      </c>
      <c r="D43" s="9" t="str">
        <f t="shared" si="1"/>
        <v/>
      </c>
      <c r="E43" t="str">
        <f t="shared" si="8"/>
        <v/>
      </c>
      <c r="F43" t="str">
        <f t="shared" si="8"/>
        <v/>
      </c>
      <c r="G43" t="str">
        <f t="shared" si="8"/>
        <v/>
      </c>
      <c r="H43" t="str">
        <f t="shared" si="8"/>
        <v/>
      </c>
      <c r="I43" t="str">
        <f t="shared" si="8"/>
        <v/>
      </c>
      <c r="J43" t="str">
        <f t="shared" si="8"/>
        <v/>
      </c>
      <c r="K43" t="str">
        <f t="shared" si="8"/>
        <v/>
      </c>
      <c r="L43" t="str">
        <f t="shared" si="8"/>
        <v/>
      </c>
      <c r="M43" t="str">
        <f t="shared" si="8"/>
        <v/>
      </c>
      <c r="N43" t="str">
        <f t="shared" si="8"/>
        <v/>
      </c>
      <c r="O43" t="str">
        <f t="shared" si="8"/>
        <v/>
      </c>
      <c r="P43" t="str">
        <f t="shared" si="8"/>
        <v/>
      </c>
      <c r="Q43" t="str">
        <f t="shared" si="8"/>
        <v/>
      </c>
      <c r="R43" t="str">
        <f t="shared" si="8"/>
        <v/>
      </c>
      <c r="S43" t="str">
        <f t="shared" si="8"/>
        <v/>
      </c>
      <c r="T43" t="str">
        <f t="shared" si="8"/>
        <v/>
      </c>
      <c r="U43" t="str">
        <f t="shared" si="8"/>
        <v/>
      </c>
      <c r="V43" t="str">
        <f t="shared" si="8"/>
        <v/>
      </c>
      <c r="W43" t="str">
        <f t="shared" si="8"/>
        <v/>
      </c>
      <c r="X43" t="str">
        <f t="shared" si="8"/>
        <v/>
      </c>
      <c r="Y43" t="str">
        <f t="shared" si="8"/>
        <v/>
      </c>
      <c r="Z43" t="str">
        <f t="shared" si="8"/>
        <v/>
      </c>
      <c r="AA43" t="str">
        <f t="shared" si="8"/>
        <v/>
      </c>
      <c r="AB43" t="str">
        <f t="shared" si="8"/>
        <v/>
      </c>
      <c r="AC43" t="str">
        <f t="shared" si="8"/>
        <v/>
      </c>
      <c r="AD43" t="str">
        <f t="shared" si="8"/>
        <v/>
      </c>
      <c r="AE43" t="str">
        <f t="shared" si="8"/>
        <v/>
      </c>
      <c r="AF43" t="str">
        <f t="shared" si="8"/>
        <v/>
      </c>
      <c r="AG43" t="str">
        <f t="shared" si="8"/>
        <v/>
      </c>
      <c r="AH43" t="str">
        <f t="shared" si="8"/>
        <v/>
      </c>
      <c r="AI43" t="str">
        <f t="shared" si="8"/>
        <v/>
      </c>
      <c r="AJ43" t="str">
        <f t="shared" si="8"/>
        <v/>
      </c>
      <c r="AK43" t="str">
        <f t="shared" si="8"/>
        <v/>
      </c>
      <c r="AL43" t="str">
        <f t="shared" si="8"/>
        <v/>
      </c>
      <c r="AM43" t="str">
        <f t="shared" si="8"/>
        <v/>
      </c>
      <c r="AN43" t="str">
        <f t="shared" si="8"/>
        <v/>
      </c>
      <c r="AO43" t="str">
        <f t="shared" si="8"/>
        <v/>
      </c>
      <c r="AP43" t="str">
        <f t="shared" si="8"/>
        <v/>
      </c>
      <c r="AQ43" t="str">
        <f t="shared" si="8"/>
        <v/>
      </c>
      <c r="AR43" t="str">
        <f t="shared" si="8"/>
        <v/>
      </c>
      <c r="AS43" t="str">
        <f t="shared" si="8"/>
        <v/>
      </c>
      <c r="AT43" t="str">
        <f t="shared" si="8"/>
        <v/>
      </c>
      <c r="AU43" t="str">
        <f t="shared" si="8"/>
        <v/>
      </c>
      <c r="AV43" t="str">
        <f t="shared" si="8"/>
        <v/>
      </c>
      <c r="AW43" t="str">
        <f t="shared" si="8"/>
        <v/>
      </c>
      <c r="AX43" t="str">
        <f t="shared" si="8"/>
        <v/>
      </c>
      <c r="AY43" t="str">
        <f t="shared" si="8"/>
        <v/>
      </c>
      <c r="AZ43" t="str">
        <f t="shared" si="8"/>
        <v/>
      </c>
      <c r="BA43" s="10" t="str">
        <f t="shared" si="8"/>
        <v/>
      </c>
    </row>
    <row r="44" spans="1:53" x14ac:dyDescent="0.25">
      <c r="A44" s="16">
        <v>40</v>
      </c>
      <c r="B44" s="16" t="str">
        <f>IF(VLOOKUP($A44,'geocodes &amp; mnemonic list'!$A$5:$D$55,2,FALSE)&lt;&gt;"",VLOOKUP($A44,'geocodes &amp; mnemonic list'!$A$5:$D$55,2,FALSE),"")</f>
        <v/>
      </c>
      <c r="C44" s="16" t="str">
        <f>IF(VLOOKUP($A44,'geocodes &amp; mnemonic list'!$A$5:$E$104,5,FALSE)=0,"",VLOOKUP($A44,'geocodes &amp; mnemonic list'!$A$5:$E$104,5,FALSE))</f>
        <v/>
      </c>
      <c r="D44" s="9" t="str">
        <f t="shared" si="1"/>
        <v/>
      </c>
      <c r="E44" t="str">
        <f t="shared" si="8"/>
        <v/>
      </c>
      <c r="F44" t="str">
        <f t="shared" si="8"/>
        <v/>
      </c>
      <c r="G44" t="str">
        <f t="shared" si="8"/>
        <v/>
      </c>
      <c r="H44" t="str">
        <f t="shared" si="8"/>
        <v/>
      </c>
      <c r="I44" t="str">
        <f t="shared" si="8"/>
        <v/>
      </c>
      <c r="J44" t="str">
        <f t="shared" si="8"/>
        <v/>
      </c>
      <c r="K44" t="str">
        <f t="shared" si="8"/>
        <v/>
      </c>
      <c r="L44" t="str">
        <f t="shared" si="8"/>
        <v/>
      </c>
      <c r="M44" t="str">
        <f t="shared" si="8"/>
        <v/>
      </c>
      <c r="N44" t="str">
        <f t="shared" si="8"/>
        <v/>
      </c>
      <c r="O44" t="str">
        <f t="shared" si="8"/>
        <v/>
      </c>
      <c r="P44" t="str">
        <f t="shared" si="8"/>
        <v/>
      </c>
      <c r="Q44" t="str">
        <f t="shared" si="8"/>
        <v/>
      </c>
      <c r="R44" t="str">
        <f t="shared" si="8"/>
        <v/>
      </c>
      <c r="S44" t="str">
        <f t="shared" si="8"/>
        <v/>
      </c>
      <c r="T44" t="str">
        <f t="shared" si="8"/>
        <v/>
      </c>
      <c r="U44" t="str">
        <f t="shared" si="8"/>
        <v/>
      </c>
      <c r="V44" t="str">
        <f t="shared" si="8"/>
        <v/>
      </c>
      <c r="W44" t="str">
        <f t="shared" si="8"/>
        <v/>
      </c>
      <c r="X44" t="str">
        <f t="shared" si="8"/>
        <v/>
      </c>
      <c r="Y44" t="str">
        <f t="shared" si="8"/>
        <v/>
      </c>
      <c r="Z44" t="str">
        <f t="shared" si="8"/>
        <v/>
      </c>
      <c r="AA44" t="str">
        <f t="shared" si="8"/>
        <v/>
      </c>
      <c r="AB44" t="str">
        <f t="shared" si="8"/>
        <v/>
      </c>
      <c r="AC44" t="str">
        <f t="shared" si="8"/>
        <v/>
      </c>
      <c r="AD44" t="str">
        <f t="shared" si="8"/>
        <v/>
      </c>
      <c r="AE44" t="str">
        <f t="shared" si="8"/>
        <v/>
      </c>
      <c r="AF44" t="str">
        <f t="shared" si="8"/>
        <v/>
      </c>
      <c r="AG44" t="str">
        <f t="shared" si="8"/>
        <v/>
      </c>
      <c r="AH44" t="str">
        <f t="shared" si="8"/>
        <v/>
      </c>
      <c r="AI44" t="str">
        <f t="shared" si="8"/>
        <v/>
      </c>
      <c r="AJ44" t="str">
        <f t="shared" si="8"/>
        <v/>
      </c>
      <c r="AK44" t="str">
        <f t="shared" si="8"/>
        <v/>
      </c>
      <c r="AL44" t="str">
        <f t="shared" si="8"/>
        <v/>
      </c>
      <c r="AM44" t="str">
        <f t="shared" si="8"/>
        <v/>
      </c>
      <c r="AN44" t="str">
        <f t="shared" si="8"/>
        <v/>
      </c>
      <c r="AO44" t="str">
        <f t="shared" si="8"/>
        <v/>
      </c>
      <c r="AP44" t="str">
        <f t="shared" si="8"/>
        <v/>
      </c>
      <c r="AQ44" t="str">
        <f t="shared" si="8"/>
        <v/>
      </c>
      <c r="AR44" t="str">
        <f t="shared" si="8"/>
        <v/>
      </c>
      <c r="AS44" t="str">
        <f t="shared" si="8"/>
        <v/>
      </c>
      <c r="AT44" t="str">
        <f t="shared" si="8"/>
        <v/>
      </c>
      <c r="AU44" t="str">
        <f t="shared" si="8"/>
        <v/>
      </c>
      <c r="AV44" t="str">
        <f t="shared" si="8"/>
        <v/>
      </c>
      <c r="AW44" t="str">
        <f t="shared" si="8"/>
        <v/>
      </c>
      <c r="AX44" t="str">
        <f t="shared" si="8"/>
        <v/>
      </c>
      <c r="AY44" t="str">
        <f t="shared" si="8"/>
        <v/>
      </c>
      <c r="AZ44" t="str">
        <f t="shared" si="8"/>
        <v/>
      </c>
      <c r="BA44" s="10" t="str">
        <f t="shared" si="8"/>
        <v/>
      </c>
    </row>
    <row r="45" spans="1:53" x14ac:dyDescent="0.25">
      <c r="A45" s="16">
        <v>41</v>
      </c>
      <c r="B45" s="16" t="str">
        <f>IF(VLOOKUP($A45,'geocodes &amp; mnemonic list'!$A$5:$D$55,2,FALSE)&lt;&gt;"",VLOOKUP($A45,'geocodes &amp; mnemonic list'!$A$5:$D$55,2,FALSE),"")</f>
        <v/>
      </c>
      <c r="C45" s="16" t="str">
        <f>IF(VLOOKUP($A45,'geocodes &amp; mnemonic list'!$A$5:$E$104,5,FALSE)=0,"",VLOOKUP($A45,'geocodes &amp; mnemonic list'!$A$5:$E$104,5,FALSE))</f>
        <v/>
      </c>
      <c r="D45" s="9" t="str">
        <f t="shared" si="1"/>
        <v/>
      </c>
      <c r="E45" t="str">
        <f t="shared" si="8"/>
        <v/>
      </c>
      <c r="F45" t="str">
        <f t="shared" si="8"/>
        <v/>
      </c>
      <c r="G45" t="str">
        <f t="shared" si="8"/>
        <v/>
      </c>
      <c r="H45" t="str">
        <f t="shared" si="8"/>
        <v/>
      </c>
      <c r="I45" t="str">
        <f t="shared" si="8"/>
        <v/>
      </c>
      <c r="J45" t="str">
        <f t="shared" si="8"/>
        <v/>
      </c>
      <c r="K45" t="str">
        <f t="shared" si="8"/>
        <v/>
      </c>
      <c r="L45" t="str">
        <f t="shared" si="8"/>
        <v/>
      </c>
      <c r="M45" t="str">
        <f t="shared" si="8"/>
        <v/>
      </c>
      <c r="N45" t="str">
        <f t="shared" si="8"/>
        <v/>
      </c>
      <c r="O45" t="str">
        <f t="shared" si="8"/>
        <v/>
      </c>
      <c r="P45" t="str">
        <f t="shared" si="8"/>
        <v/>
      </c>
      <c r="Q45" t="str">
        <f t="shared" si="8"/>
        <v/>
      </c>
      <c r="R45" t="str">
        <f t="shared" si="8"/>
        <v/>
      </c>
      <c r="S45" t="str">
        <f t="shared" si="8"/>
        <v/>
      </c>
      <c r="T45" t="str">
        <f t="shared" si="8"/>
        <v/>
      </c>
      <c r="U45" t="str">
        <f t="shared" si="8"/>
        <v/>
      </c>
      <c r="V45" t="str">
        <f t="shared" si="8"/>
        <v/>
      </c>
      <c r="W45" t="str">
        <f t="shared" si="8"/>
        <v/>
      </c>
      <c r="X45" t="str">
        <f t="shared" si="8"/>
        <v/>
      </c>
      <c r="Y45" t="str">
        <f t="shared" si="8"/>
        <v/>
      </c>
      <c r="Z45" t="str">
        <f t="shared" si="8"/>
        <v/>
      </c>
      <c r="AA45" t="str">
        <f t="shared" si="8"/>
        <v/>
      </c>
      <c r="AB45" t="str">
        <f t="shared" si="8"/>
        <v/>
      </c>
      <c r="AC45" t="str">
        <f t="shared" si="8"/>
        <v/>
      </c>
      <c r="AD45" t="str">
        <f t="shared" si="8"/>
        <v/>
      </c>
      <c r="AE45" t="str">
        <f t="shared" si="8"/>
        <v/>
      </c>
      <c r="AF45" t="str">
        <f t="shared" si="8"/>
        <v/>
      </c>
      <c r="AG45" t="str">
        <f t="shared" si="8"/>
        <v/>
      </c>
      <c r="AH45" t="str">
        <f t="shared" si="8"/>
        <v/>
      </c>
      <c r="AI45" t="str">
        <f t="shared" si="8"/>
        <v/>
      </c>
      <c r="AJ45" t="str">
        <f t="shared" si="8"/>
        <v/>
      </c>
      <c r="AK45" t="str">
        <f t="shared" si="8"/>
        <v/>
      </c>
      <c r="AL45" t="str">
        <f t="shared" si="8"/>
        <v/>
      </c>
      <c r="AM45" t="str">
        <f t="shared" si="8"/>
        <v/>
      </c>
      <c r="AN45" t="str">
        <f t="shared" si="8"/>
        <v/>
      </c>
      <c r="AO45" t="str">
        <f t="shared" si="8"/>
        <v/>
      </c>
      <c r="AP45" t="str">
        <f t="shared" si="8"/>
        <v/>
      </c>
      <c r="AQ45" t="str">
        <f t="shared" si="8"/>
        <v/>
      </c>
      <c r="AR45" t="str">
        <f t="shared" si="8"/>
        <v/>
      </c>
      <c r="AS45" t="str">
        <f t="shared" si="8"/>
        <v/>
      </c>
      <c r="AT45" t="str">
        <f t="shared" si="8"/>
        <v/>
      </c>
      <c r="AU45" t="str">
        <f t="shared" si="8"/>
        <v/>
      </c>
      <c r="AV45" t="str">
        <f t="shared" si="8"/>
        <v/>
      </c>
      <c r="AW45" t="str">
        <f t="shared" si="8"/>
        <v/>
      </c>
      <c r="AX45" t="str">
        <f t="shared" si="8"/>
        <v/>
      </c>
      <c r="AY45" t="str">
        <f t="shared" si="8"/>
        <v/>
      </c>
      <c r="AZ45" t="str">
        <f t="shared" si="8"/>
        <v/>
      </c>
      <c r="BA45" s="10" t="str">
        <f t="shared" si="8"/>
        <v/>
      </c>
    </row>
    <row r="46" spans="1:53" x14ac:dyDescent="0.25">
      <c r="A46" s="16">
        <v>42</v>
      </c>
      <c r="B46" s="16" t="str">
        <f>IF(VLOOKUP($A46,'geocodes &amp; mnemonic list'!$A$5:$D$55,2,FALSE)&lt;&gt;"",VLOOKUP($A46,'geocodes &amp; mnemonic list'!$A$5:$D$55,2,FALSE),"")</f>
        <v/>
      </c>
      <c r="C46" s="16" t="str">
        <f>IF(VLOOKUP($A46,'geocodes &amp; mnemonic list'!$A$5:$E$104,5,FALSE)=0,"",VLOOKUP($A46,'geocodes &amp; mnemonic list'!$A$5:$E$104,5,FALSE))</f>
        <v/>
      </c>
      <c r="D46" s="9" t="str">
        <f t="shared" si="1"/>
        <v/>
      </c>
      <c r="E46" t="str">
        <f t="shared" si="8"/>
        <v/>
      </c>
      <c r="F46" t="str">
        <f t="shared" si="8"/>
        <v/>
      </c>
      <c r="G46" t="str">
        <f t="shared" si="8"/>
        <v/>
      </c>
      <c r="H46" t="str">
        <f t="shared" si="8"/>
        <v/>
      </c>
      <c r="I46" t="str">
        <f t="shared" si="8"/>
        <v/>
      </c>
      <c r="J46" t="str">
        <f t="shared" si="8"/>
        <v/>
      </c>
      <c r="K46" t="str">
        <f t="shared" si="8"/>
        <v/>
      </c>
      <c r="L46" t="str">
        <f t="shared" si="8"/>
        <v/>
      </c>
      <c r="M46" t="str">
        <f t="shared" si="8"/>
        <v/>
      </c>
      <c r="N46" t="str">
        <f t="shared" si="8"/>
        <v/>
      </c>
      <c r="O46" t="str">
        <f t="shared" si="8"/>
        <v/>
      </c>
      <c r="P46" t="str">
        <f t="shared" si="8"/>
        <v/>
      </c>
      <c r="Q46" t="str">
        <f t="shared" si="8"/>
        <v/>
      </c>
      <c r="R46" t="str">
        <f t="shared" si="8"/>
        <v/>
      </c>
      <c r="S46" t="str">
        <f t="shared" si="8"/>
        <v/>
      </c>
      <c r="T46" t="str">
        <f t="shared" si="8"/>
        <v/>
      </c>
      <c r="U46" t="str">
        <f t="shared" si="8"/>
        <v/>
      </c>
      <c r="V46" t="str">
        <f t="shared" si="8"/>
        <v/>
      </c>
      <c r="W46" t="str">
        <f t="shared" si="8"/>
        <v/>
      </c>
      <c r="X46" t="str">
        <f t="shared" si="8"/>
        <v/>
      </c>
      <c r="Y46" t="str">
        <f t="shared" si="8"/>
        <v/>
      </c>
      <c r="Z46" t="str">
        <f t="shared" si="8"/>
        <v/>
      </c>
      <c r="AA46" t="str">
        <f t="shared" si="8"/>
        <v/>
      </c>
      <c r="AB46" t="str">
        <f t="shared" si="8"/>
        <v/>
      </c>
      <c r="AC46" t="str">
        <f t="shared" si="8"/>
        <v/>
      </c>
      <c r="AD46" t="str">
        <f t="shared" si="8"/>
        <v/>
      </c>
      <c r="AE46" t="str">
        <f t="shared" si="8"/>
        <v/>
      </c>
      <c r="AF46" t="str">
        <f t="shared" si="8"/>
        <v/>
      </c>
      <c r="AG46" t="str">
        <f t="shared" si="8"/>
        <v/>
      </c>
      <c r="AH46" t="str">
        <f t="shared" si="8"/>
        <v/>
      </c>
      <c r="AI46" t="str">
        <f t="shared" si="8"/>
        <v/>
      </c>
      <c r="AJ46" t="str">
        <f t="shared" si="8"/>
        <v/>
      </c>
      <c r="AK46" t="str">
        <f t="shared" si="8"/>
        <v/>
      </c>
      <c r="AL46" t="str">
        <f t="shared" si="8"/>
        <v/>
      </c>
      <c r="AM46" t="str">
        <f t="shared" si="8"/>
        <v/>
      </c>
      <c r="AN46" t="str">
        <f t="shared" si="8"/>
        <v/>
      </c>
      <c r="AO46" t="str">
        <f t="shared" si="8"/>
        <v/>
      </c>
      <c r="AP46" t="str">
        <f t="shared" si="8"/>
        <v/>
      </c>
      <c r="AQ46" t="str">
        <f t="shared" si="8"/>
        <v/>
      </c>
      <c r="AR46" t="str">
        <f t="shared" si="8"/>
        <v/>
      </c>
      <c r="AS46" t="str">
        <f t="shared" si="8"/>
        <v/>
      </c>
      <c r="AT46" t="str">
        <f t="shared" si="8"/>
        <v/>
      </c>
      <c r="AU46" t="str">
        <f t="shared" si="8"/>
        <v/>
      </c>
      <c r="AV46" t="str">
        <f t="shared" si="8"/>
        <v/>
      </c>
      <c r="AW46" t="str">
        <f t="shared" si="8"/>
        <v/>
      </c>
      <c r="AX46" t="str">
        <f t="shared" si="8"/>
        <v/>
      </c>
      <c r="AY46" t="str">
        <f t="shared" ref="E46:BA52" si="9">IF(AND($C46&lt;&gt;"",AY$2&lt;&gt;""),AY$2&amp;"."&amp;$C46,"")</f>
        <v/>
      </c>
      <c r="AZ46" t="str">
        <f t="shared" si="9"/>
        <v/>
      </c>
      <c r="BA46" s="10" t="str">
        <f t="shared" si="9"/>
        <v/>
      </c>
    </row>
    <row r="47" spans="1:53" x14ac:dyDescent="0.25">
      <c r="A47" s="16">
        <v>43</v>
      </c>
      <c r="B47" s="16" t="str">
        <f>IF(VLOOKUP($A47,'geocodes &amp; mnemonic list'!$A$5:$D$55,2,FALSE)&lt;&gt;"",VLOOKUP($A47,'geocodes &amp; mnemonic list'!$A$5:$D$55,2,FALSE),"")</f>
        <v/>
      </c>
      <c r="C47" s="16" t="str">
        <f>IF(VLOOKUP($A47,'geocodes &amp; mnemonic list'!$A$5:$E$104,5,FALSE)=0,"",VLOOKUP($A47,'geocodes &amp; mnemonic list'!$A$5:$E$104,5,FALSE))</f>
        <v/>
      </c>
      <c r="D47" s="9" t="str">
        <f t="shared" si="1"/>
        <v/>
      </c>
      <c r="E47" t="str">
        <f t="shared" si="9"/>
        <v/>
      </c>
      <c r="F47" t="str">
        <f t="shared" si="9"/>
        <v/>
      </c>
      <c r="G47" t="str">
        <f t="shared" si="9"/>
        <v/>
      </c>
      <c r="H47" t="str">
        <f t="shared" si="9"/>
        <v/>
      </c>
      <c r="I47" t="str">
        <f t="shared" si="9"/>
        <v/>
      </c>
      <c r="J47" t="str">
        <f t="shared" si="9"/>
        <v/>
      </c>
      <c r="K47" t="str">
        <f t="shared" si="9"/>
        <v/>
      </c>
      <c r="L47" t="str">
        <f t="shared" si="9"/>
        <v/>
      </c>
      <c r="M47" t="str">
        <f t="shared" si="9"/>
        <v/>
      </c>
      <c r="N47" t="str">
        <f t="shared" si="9"/>
        <v/>
      </c>
      <c r="O47" t="str">
        <f t="shared" si="9"/>
        <v/>
      </c>
      <c r="P47" t="str">
        <f t="shared" si="9"/>
        <v/>
      </c>
      <c r="Q47" t="str">
        <f t="shared" si="9"/>
        <v/>
      </c>
      <c r="R47" t="str">
        <f t="shared" si="9"/>
        <v/>
      </c>
      <c r="S47" t="str">
        <f t="shared" si="9"/>
        <v/>
      </c>
      <c r="T47" t="str">
        <f t="shared" si="9"/>
        <v/>
      </c>
      <c r="U47" t="str">
        <f t="shared" si="9"/>
        <v/>
      </c>
      <c r="V47" t="str">
        <f t="shared" si="9"/>
        <v/>
      </c>
      <c r="W47" t="str">
        <f t="shared" si="9"/>
        <v/>
      </c>
      <c r="X47" t="str">
        <f t="shared" si="9"/>
        <v/>
      </c>
      <c r="Y47" t="str">
        <f t="shared" si="9"/>
        <v/>
      </c>
      <c r="Z47" t="str">
        <f t="shared" si="9"/>
        <v/>
      </c>
      <c r="AA47" t="str">
        <f t="shared" si="9"/>
        <v/>
      </c>
      <c r="AB47" t="str">
        <f t="shared" si="9"/>
        <v/>
      </c>
      <c r="AC47" t="str">
        <f t="shared" si="9"/>
        <v/>
      </c>
      <c r="AD47" t="str">
        <f t="shared" si="9"/>
        <v/>
      </c>
      <c r="AE47" t="str">
        <f t="shared" si="9"/>
        <v/>
      </c>
      <c r="AF47" t="str">
        <f t="shared" si="9"/>
        <v/>
      </c>
      <c r="AG47" t="str">
        <f t="shared" si="9"/>
        <v/>
      </c>
      <c r="AH47" t="str">
        <f t="shared" si="9"/>
        <v/>
      </c>
      <c r="AI47" t="str">
        <f t="shared" si="9"/>
        <v/>
      </c>
      <c r="AJ47" t="str">
        <f t="shared" si="9"/>
        <v/>
      </c>
      <c r="AK47" t="str">
        <f t="shared" si="9"/>
        <v/>
      </c>
      <c r="AL47" t="str">
        <f t="shared" si="9"/>
        <v/>
      </c>
      <c r="AM47" t="str">
        <f t="shared" si="9"/>
        <v/>
      </c>
      <c r="AN47" t="str">
        <f t="shared" si="9"/>
        <v/>
      </c>
      <c r="AO47" t="str">
        <f t="shared" si="9"/>
        <v/>
      </c>
      <c r="AP47" t="str">
        <f t="shared" si="9"/>
        <v/>
      </c>
      <c r="AQ47" t="str">
        <f t="shared" si="9"/>
        <v/>
      </c>
      <c r="AR47" t="str">
        <f t="shared" si="9"/>
        <v/>
      </c>
      <c r="AS47" t="str">
        <f t="shared" si="9"/>
        <v/>
      </c>
      <c r="AT47" t="str">
        <f t="shared" si="9"/>
        <v/>
      </c>
      <c r="AU47" t="str">
        <f t="shared" si="9"/>
        <v/>
      </c>
      <c r="AV47" t="str">
        <f t="shared" si="9"/>
        <v/>
      </c>
      <c r="AW47" t="str">
        <f t="shared" si="9"/>
        <v/>
      </c>
      <c r="AX47" t="str">
        <f t="shared" si="9"/>
        <v/>
      </c>
      <c r="AY47" t="str">
        <f t="shared" si="9"/>
        <v/>
      </c>
      <c r="AZ47" t="str">
        <f t="shared" si="9"/>
        <v/>
      </c>
      <c r="BA47" s="10" t="str">
        <f t="shared" si="9"/>
        <v/>
      </c>
    </row>
    <row r="48" spans="1:53" x14ac:dyDescent="0.25">
      <c r="A48" s="16">
        <v>44</v>
      </c>
      <c r="B48" s="16" t="str">
        <f>IF(VLOOKUP($A48,'geocodes &amp; mnemonic list'!$A$5:$D$55,2,FALSE)&lt;&gt;"",VLOOKUP($A48,'geocodes &amp; mnemonic list'!$A$5:$D$55,2,FALSE),"")</f>
        <v/>
      </c>
      <c r="C48" s="16" t="str">
        <f>IF(VLOOKUP($A48,'geocodes &amp; mnemonic list'!$A$5:$E$104,5,FALSE)=0,"",VLOOKUP($A48,'geocodes &amp; mnemonic list'!$A$5:$E$104,5,FALSE))</f>
        <v/>
      </c>
      <c r="D48" s="9" t="str">
        <f t="shared" si="1"/>
        <v/>
      </c>
      <c r="E48" t="str">
        <f t="shared" si="9"/>
        <v/>
      </c>
      <c r="F48" t="str">
        <f t="shared" si="9"/>
        <v/>
      </c>
      <c r="G48" t="str">
        <f t="shared" si="9"/>
        <v/>
      </c>
      <c r="H48" t="str">
        <f t="shared" si="9"/>
        <v/>
      </c>
      <c r="I48" t="str">
        <f t="shared" si="9"/>
        <v/>
      </c>
      <c r="J48" t="str">
        <f t="shared" si="9"/>
        <v/>
      </c>
      <c r="K48" t="str">
        <f t="shared" si="9"/>
        <v/>
      </c>
      <c r="L48" t="str">
        <f t="shared" si="9"/>
        <v/>
      </c>
      <c r="M48" t="str">
        <f t="shared" si="9"/>
        <v/>
      </c>
      <c r="N48" t="str">
        <f t="shared" si="9"/>
        <v/>
      </c>
      <c r="O48" t="str">
        <f t="shared" si="9"/>
        <v/>
      </c>
      <c r="P48" t="str">
        <f t="shared" si="9"/>
        <v/>
      </c>
      <c r="Q48" t="str">
        <f t="shared" si="9"/>
        <v/>
      </c>
      <c r="R48" t="str">
        <f t="shared" si="9"/>
        <v/>
      </c>
      <c r="S48" t="str">
        <f t="shared" si="9"/>
        <v/>
      </c>
      <c r="T48" t="str">
        <f t="shared" si="9"/>
        <v/>
      </c>
      <c r="U48" t="str">
        <f t="shared" si="9"/>
        <v/>
      </c>
      <c r="V48" t="str">
        <f t="shared" si="9"/>
        <v/>
      </c>
      <c r="W48" t="str">
        <f t="shared" si="9"/>
        <v/>
      </c>
      <c r="X48" t="str">
        <f t="shared" si="9"/>
        <v/>
      </c>
      <c r="Y48" t="str">
        <f t="shared" si="9"/>
        <v/>
      </c>
      <c r="Z48" t="str">
        <f t="shared" si="9"/>
        <v/>
      </c>
      <c r="AA48" t="str">
        <f t="shared" si="9"/>
        <v/>
      </c>
      <c r="AB48" t="str">
        <f t="shared" si="9"/>
        <v/>
      </c>
      <c r="AC48" t="str">
        <f t="shared" si="9"/>
        <v/>
      </c>
      <c r="AD48" t="str">
        <f t="shared" si="9"/>
        <v/>
      </c>
      <c r="AE48" t="str">
        <f t="shared" si="9"/>
        <v/>
      </c>
      <c r="AF48" t="str">
        <f t="shared" si="9"/>
        <v/>
      </c>
      <c r="AG48" t="str">
        <f t="shared" si="9"/>
        <v/>
      </c>
      <c r="AH48" t="str">
        <f t="shared" si="9"/>
        <v/>
      </c>
      <c r="AI48" t="str">
        <f t="shared" si="9"/>
        <v/>
      </c>
      <c r="AJ48" t="str">
        <f t="shared" si="9"/>
        <v/>
      </c>
      <c r="AK48" t="str">
        <f t="shared" si="9"/>
        <v/>
      </c>
      <c r="AL48" t="str">
        <f t="shared" si="9"/>
        <v/>
      </c>
      <c r="AM48" t="str">
        <f t="shared" si="9"/>
        <v/>
      </c>
      <c r="AN48" t="str">
        <f t="shared" si="9"/>
        <v/>
      </c>
      <c r="AO48" t="str">
        <f t="shared" si="9"/>
        <v/>
      </c>
      <c r="AP48" t="str">
        <f t="shared" si="9"/>
        <v/>
      </c>
      <c r="AQ48" t="str">
        <f t="shared" si="9"/>
        <v/>
      </c>
      <c r="AR48" t="str">
        <f t="shared" si="9"/>
        <v/>
      </c>
      <c r="AS48" t="str">
        <f t="shared" si="9"/>
        <v/>
      </c>
      <c r="AT48" t="str">
        <f t="shared" si="9"/>
        <v/>
      </c>
      <c r="AU48" t="str">
        <f t="shared" si="9"/>
        <v/>
      </c>
      <c r="AV48" t="str">
        <f t="shared" si="9"/>
        <v/>
      </c>
      <c r="AW48" t="str">
        <f t="shared" si="9"/>
        <v/>
      </c>
      <c r="AX48" t="str">
        <f t="shared" si="9"/>
        <v/>
      </c>
      <c r="AY48" t="str">
        <f t="shared" si="9"/>
        <v/>
      </c>
      <c r="AZ48" t="str">
        <f t="shared" si="9"/>
        <v/>
      </c>
      <c r="BA48" s="10" t="str">
        <f t="shared" si="9"/>
        <v/>
      </c>
    </row>
    <row r="49" spans="1:53" x14ac:dyDescent="0.25">
      <c r="A49" s="16">
        <v>45</v>
      </c>
      <c r="B49" s="16" t="str">
        <f>IF(VLOOKUP($A49,'geocodes &amp; mnemonic list'!$A$5:$D$55,2,FALSE)&lt;&gt;"",VLOOKUP($A49,'geocodes &amp; mnemonic list'!$A$5:$D$55,2,FALSE),"")</f>
        <v/>
      </c>
      <c r="C49" s="16" t="str">
        <f>IF(VLOOKUP($A49,'geocodes &amp; mnemonic list'!$A$5:$E$104,5,FALSE)=0,"",VLOOKUP($A49,'geocodes &amp; mnemonic list'!$A$5:$E$104,5,FALSE))</f>
        <v/>
      </c>
      <c r="D49" s="9" t="str">
        <f t="shared" si="1"/>
        <v/>
      </c>
      <c r="E49" t="str">
        <f t="shared" si="9"/>
        <v/>
      </c>
      <c r="F49" t="str">
        <f t="shared" si="9"/>
        <v/>
      </c>
      <c r="G49" t="str">
        <f t="shared" si="9"/>
        <v/>
      </c>
      <c r="H49" t="str">
        <f t="shared" si="9"/>
        <v/>
      </c>
      <c r="I49" t="str">
        <f t="shared" si="9"/>
        <v/>
      </c>
      <c r="J49" t="str">
        <f t="shared" si="9"/>
        <v/>
      </c>
      <c r="K49" t="str">
        <f t="shared" si="9"/>
        <v/>
      </c>
      <c r="L49" t="str">
        <f t="shared" si="9"/>
        <v/>
      </c>
      <c r="M49" t="str">
        <f t="shared" si="9"/>
        <v/>
      </c>
      <c r="N49" t="str">
        <f t="shared" si="9"/>
        <v/>
      </c>
      <c r="O49" t="str">
        <f t="shared" si="9"/>
        <v/>
      </c>
      <c r="P49" t="str">
        <f t="shared" si="9"/>
        <v/>
      </c>
      <c r="Q49" t="str">
        <f t="shared" si="9"/>
        <v/>
      </c>
      <c r="R49" t="str">
        <f t="shared" si="9"/>
        <v/>
      </c>
      <c r="S49" t="str">
        <f t="shared" si="9"/>
        <v/>
      </c>
      <c r="T49" t="str">
        <f t="shared" si="9"/>
        <v/>
      </c>
      <c r="U49" t="str">
        <f t="shared" si="9"/>
        <v/>
      </c>
      <c r="V49" t="str">
        <f t="shared" si="9"/>
        <v/>
      </c>
      <c r="W49" t="str">
        <f t="shared" si="9"/>
        <v/>
      </c>
      <c r="X49" t="str">
        <f t="shared" si="9"/>
        <v/>
      </c>
      <c r="Y49" t="str">
        <f t="shared" si="9"/>
        <v/>
      </c>
      <c r="Z49" t="str">
        <f t="shared" si="9"/>
        <v/>
      </c>
      <c r="AA49" t="str">
        <f t="shared" si="9"/>
        <v/>
      </c>
      <c r="AB49" t="str">
        <f t="shared" si="9"/>
        <v/>
      </c>
      <c r="AC49" t="str">
        <f t="shared" si="9"/>
        <v/>
      </c>
      <c r="AD49" t="str">
        <f t="shared" si="9"/>
        <v/>
      </c>
      <c r="AE49" t="str">
        <f t="shared" si="9"/>
        <v/>
      </c>
      <c r="AF49" t="str">
        <f t="shared" si="9"/>
        <v/>
      </c>
      <c r="AG49" t="str">
        <f t="shared" si="9"/>
        <v/>
      </c>
      <c r="AH49" t="str">
        <f t="shared" si="9"/>
        <v/>
      </c>
      <c r="AI49" t="str">
        <f t="shared" si="9"/>
        <v/>
      </c>
      <c r="AJ49" t="str">
        <f t="shared" si="9"/>
        <v/>
      </c>
      <c r="AK49" t="str">
        <f t="shared" si="9"/>
        <v/>
      </c>
      <c r="AL49" t="str">
        <f t="shared" si="9"/>
        <v/>
      </c>
      <c r="AM49" t="str">
        <f t="shared" si="9"/>
        <v/>
      </c>
      <c r="AN49" t="str">
        <f t="shared" si="9"/>
        <v/>
      </c>
      <c r="AO49" t="str">
        <f t="shared" si="9"/>
        <v/>
      </c>
      <c r="AP49" t="str">
        <f t="shared" si="9"/>
        <v/>
      </c>
      <c r="AQ49" t="str">
        <f t="shared" si="9"/>
        <v/>
      </c>
      <c r="AR49" t="str">
        <f t="shared" si="9"/>
        <v/>
      </c>
      <c r="AS49" t="str">
        <f t="shared" si="9"/>
        <v/>
      </c>
      <c r="AT49" t="str">
        <f t="shared" si="9"/>
        <v/>
      </c>
      <c r="AU49" t="str">
        <f t="shared" si="9"/>
        <v/>
      </c>
      <c r="AV49" t="str">
        <f t="shared" si="9"/>
        <v/>
      </c>
      <c r="AW49" t="str">
        <f t="shared" si="9"/>
        <v/>
      </c>
      <c r="AX49" t="str">
        <f t="shared" si="9"/>
        <v/>
      </c>
      <c r="AY49" t="str">
        <f t="shared" si="9"/>
        <v/>
      </c>
      <c r="AZ49" t="str">
        <f t="shared" si="9"/>
        <v/>
      </c>
      <c r="BA49" s="10" t="str">
        <f t="shared" si="9"/>
        <v/>
      </c>
    </row>
    <row r="50" spans="1:53" x14ac:dyDescent="0.25">
      <c r="A50" s="16">
        <v>46</v>
      </c>
      <c r="B50" s="16" t="str">
        <f>IF(VLOOKUP($A50,'geocodes &amp; mnemonic list'!$A$5:$D$55,2,FALSE)&lt;&gt;"",VLOOKUP($A50,'geocodes &amp; mnemonic list'!$A$5:$D$55,2,FALSE),"")</f>
        <v/>
      </c>
      <c r="C50" s="16" t="str">
        <f>IF(VLOOKUP($A50,'geocodes &amp; mnemonic list'!$A$5:$E$104,5,FALSE)=0,"",VLOOKUP($A50,'geocodes &amp; mnemonic list'!$A$5:$E$104,5,FALSE))</f>
        <v/>
      </c>
      <c r="D50" s="9" t="str">
        <f t="shared" si="1"/>
        <v/>
      </c>
      <c r="E50" t="str">
        <f t="shared" si="9"/>
        <v/>
      </c>
      <c r="F50" t="str">
        <f t="shared" si="9"/>
        <v/>
      </c>
      <c r="G50" t="str">
        <f t="shared" si="9"/>
        <v/>
      </c>
      <c r="H50" t="str">
        <f t="shared" si="9"/>
        <v/>
      </c>
      <c r="I50" t="str">
        <f t="shared" si="9"/>
        <v/>
      </c>
      <c r="J50" t="str">
        <f t="shared" si="9"/>
        <v/>
      </c>
      <c r="K50" t="str">
        <f t="shared" si="9"/>
        <v/>
      </c>
      <c r="L50" t="str">
        <f t="shared" si="9"/>
        <v/>
      </c>
      <c r="M50" t="str">
        <f t="shared" si="9"/>
        <v/>
      </c>
      <c r="N50" t="str">
        <f t="shared" si="9"/>
        <v/>
      </c>
      <c r="O50" t="str">
        <f t="shared" si="9"/>
        <v/>
      </c>
      <c r="P50" t="str">
        <f t="shared" si="9"/>
        <v/>
      </c>
      <c r="Q50" t="str">
        <f t="shared" si="9"/>
        <v/>
      </c>
      <c r="R50" t="str">
        <f t="shared" si="9"/>
        <v/>
      </c>
      <c r="S50" t="str">
        <f t="shared" si="9"/>
        <v/>
      </c>
      <c r="T50" t="str">
        <f t="shared" si="9"/>
        <v/>
      </c>
      <c r="U50" t="str">
        <f t="shared" si="9"/>
        <v/>
      </c>
      <c r="V50" t="str">
        <f t="shared" si="9"/>
        <v/>
      </c>
      <c r="W50" t="str">
        <f t="shared" si="9"/>
        <v/>
      </c>
      <c r="X50" t="str">
        <f t="shared" si="9"/>
        <v/>
      </c>
      <c r="Y50" t="str">
        <f t="shared" si="9"/>
        <v/>
      </c>
      <c r="Z50" t="str">
        <f t="shared" si="9"/>
        <v/>
      </c>
      <c r="AA50" t="str">
        <f t="shared" si="9"/>
        <v/>
      </c>
      <c r="AB50" t="str">
        <f t="shared" si="9"/>
        <v/>
      </c>
      <c r="AC50" t="str">
        <f t="shared" si="9"/>
        <v/>
      </c>
      <c r="AD50" t="str">
        <f t="shared" si="9"/>
        <v/>
      </c>
      <c r="AE50" t="str">
        <f t="shared" si="9"/>
        <v/>
      </c>
      <c r="AF50" t="str">
        <f t="shared" si="9"/>
        <v/>
      </c>
      <c r="AG50" t="str">
        <f t="shared" si="9"/>
        <v/>
      </c>
      <c r="AH50" t="str">
        <f t="shared" si="9"/>
        <v/>
      </c>
      <c r="AI50" t="str">
        <f t="shared" si="9"/>
        <v/>
      </c>
      <c r="AJ50" t="str">
        <f t="shared" si="9"/>
        <v/>
      </c>
      <c r="AK50" t="str">
        <f t="shared" si="9"/>
        <v/>
      </c>
      <c r="AL50" t="str">
        <f t="shared" si="9"/>
        <v/>
      </c>
      <c r="AM50" t="str">
        <f t="shared" si="9"/>
        <v/>
      </c>
      <c r="AN50" t="str">
        <f t="shared" si="9"/>
        <v/>
      </c>
      <c r="AO50" t="str">
        <f t="shared" si="9"/>
        <v/>
      </c>
      <c r="AP50" t="str">
        <f t="shared" si="9"/>
        <v/>
      </c>
      <c r="AQ50" t="str">
        <f t="shared" si="9"/>
        <v/>
      </c>
      <c r="AR50" t="str">
        <f t="shared" si="9"/>
        <v/>
      </c>
      <c r="AS50" t="str">
        <f t="shared" si="9"/>
        <v/>
      </c>
      <c r="AT50" t="str">
        <f t="shared" si="9"/>
        <v/>
      </c>
      <c r="AU50" t="str">
        <f t="shared" si="9"/>
        <v/>
      </c>
      <c r="AV50" t="str">
        <f t="shared" si="9"/>
        <v/>
      </c>
      <c r="AW50" t="str">
        <f t="shared" si="9"/>
        <v/>
      </c>
      <c r="AX50" t="str">
        <f t="shared" si="9"/>
        <v/>
      </c>
      <c r="AY50" t="str">
        <f t="shared" si="9"/>
        <v/>
      </c>
      <c r="AZ50" t="str">
        <f t="shared" si="9"/>
        <v/>
      </c>
      <c r="BA50" s="10" t="str">
        <f t="shared" si="9"/>
        <v/>
      </c>
    </row>
    <row r="51" spans="1:53" x14ac:dyDescent="0.25">
      <c r="A51" s="16">
        <v>47</v>
      </c>
      <c r="B51" s="16" t="str">
        <f>IF(VLOOKUP($A51,'geocodes &amp; mnemonic list'!$A$5:$D$55,2,FALSE)&lt;&gt;"",VLOOKUP($A51,'geocodes &amp; mnemonic list'!$A$5:$D$55,2,FALSE),"")</f>
        <v/>
      </c>
      <c r="C51" s="16" t="str">
        <f>IF(VLOOKUP($A51,'geocodes &amp; mnemonic list'!$A$5:$E$104,5,FALSE)=0,"",VLOOKUP($A51,'geocodes &amp; mnemonic list'!$A$5:$E$104,5,FALSE))</f>
        <v/>
      </c>
      <c r="D51" s="9" t="str">
        <f t="shared" si="1"/>
        <v/>
      </c>
      <c r="E51" t="str">
        <f t="shared" si="9"/>
        <v/>
      </c>
      <c r="F51" t="str">
        <f t="shared" si="9"/>
        <v/>
      </c>
      <c r="G51" t="str">
        <f t="shared" si="9"/>
        <v/>
      </c>
      <c r="H51" t="str">
        <f t="shared" si="9"/>
        <v/>
      </c>
      <c r="I51" t="str">
        <f t="shared" si="9"/>
        <v/>
      </c>
      <c r="J51" t="str">
        <f t="shared" si="9"/>
        <v/>
      </c>
      <c r="K51" t="str">
        <f t="shared" si="9"/>
        <v/>
      </c>
      <c r="L51" t="str">
        <f t="shared" si="9"/>
        <v/>
      </c>
      <c r="M51" t="str">
        <f t="shared" si="9"/>
        <v/>
      </c>
      <c r="N51" t="str">
        <f t="shared" si="9"/>
        <v/>
      </c>
      <c r="O51" t="str">
        <f t="shared" si="9"/>
        <v/>
      </c>
      <c r="P51" t="str">
        <f t="shared" si="9"/>
        <v/>
      </c>
      <c r="Q51" t="str">
        <f t="shared" si="9"/>
        <v/>
      </c>
      <c r="R51" t="str">
        <f t="shared" si="9"/>
        <v/>
      </c>
      <c r="S51" t="str">
        <f t="shared" si="9"/>
        <v/>
      </c>
      <c r="T51" t="str">
        <f t="shared" si="9"/>
        <v/>
      </c>
      <c r="U51" t="str">
        <f t="shared" si="9"/>
        <v/>
      </c>
      <c r="V51" t="str">
        <f t="shared" si="9"/>
        <v/>
      </c>
      <c r="W51" t="str">
        <f t="shared" si="9"/>
        <v/>
      </c>
      <c r="X51" t="str">
        <f t="shared" si="9"/>
        <v/>
      </c>
      <c r="Y51" t="str">
        <f t="shared" si="9"/>
        <v/>
      </c>
      <c r="Z51" t="str">
        <f t="shared" si="9"/>
        <v/>
      </c>
      <c r="AA51" t="str">
        <f t="shared" si="9"/>
        <v/>
      </c>
      <c r="AB51" t="str">
        <f t="shared" si="9"/>
        <v/>
      </c>
      <c r="AC51" t="str">
        <f t="shared" si="9"/>
        <v/>
      </c>
      <c r="AD51" t="str">
        <f t="shared" si="9"/>
        <v/>
      </c>
      <c r="AE51" t="str">
        <f t="shared" si="9"/>
        <v/>
      </c>
      <c r="AF51" t="str">
        <f t="shared" si="9"/>
        <v/>
      </c>
      <c r="AG51" t="str">
        <f t="shared" si="9"/>
        <v/>
      </c>
      <c r="AH51" t="str">
        <f t="shared" si="9"/>
        <v/>
      </c>
      <c r="AI51" t="str">
        <f t="shared" si="9"/>
        <v/>
      </c>
      <c r="AJ51" t="str">
        <f t="shared" si="9"/>
        <v/>
      </c>
      <c r="AK51" t="str">
        <f t="shared" si="9"/>
        <v/>
      </c>
      <c r="AL51" t="str">
        <f t="shared" si="9"/>
        <v/>
      </c>
      <c r="AM51" t="str">
        <f t="shared" si="9"/>
        <v/>
      </c>
      <c r="AN51" t="str">
        <f t="shared" si="9"/>
        <v/>
      </c>
      <c r="AO51" t="str">
        <f t="shared" si="9"/>
        <v/>
      </c>
      <c r="AP51" t="str">
        <f t="shared" si="9"/>
        <v/>
      </c>
      <c r="AQ51" t="str">
        <f t="shared" si="9"/>
        <v/>
      </c>
      <c r="AR51" t="str">
        <f t="shared" si="9"/>
        <v/>
      </c>
      <c r="AS51" t="str">
        <f t="shared" si="9"/>
        <v/>
      </c>
      <c r="AT51" t="str">
        <f t="shared" si="9"/>
        <v/>
      </c>
      <c r="AU51" t="str">
        <f t="shared" si="9"/>
        <v/>
      </c>
      <c r="AV51" t="str">
        <f t="shared" si="9"/>
        <v/>
      </c>
      <c r="AW51" t="str">
        <f t="shared" si="9"/>
        <v/>
      </c>
      <c r="AX51" t="str">
        <f t="shared" si="9"/>
        <v/>
      </c>
      <c r="AY51" t="str">
        <f t="shared" si="9"/>
        <v/>
      </c>
      <c r="AZ51" t="str">
        <f t="shared" si="9"/>
        <v/>
      </c>
      <c r="BA51" s="10" t="str">
        <f t="shared" si="9"/>
        <v/>
      </c>
    </row>
    <row r="52" spans="1:53" x14ac:dyDescent="0.25">
      <c r="A52" s="16">
        <v>48</v>
      </c>
      <c r="B52" s="16" t="str">
        <f>IF(VLOOKUP($A52,'geocodes &amp; mnemonic list'!$A$5:$D$55,2,FALSE)&lt;&gt;"",VLOOKUP($A52,'geocodes &amp; mnemonic list'!$A$5:$D$55,2,FALSE),"")</f>
        <v/>
      </c>
      <c r="C52" s="16" t="str">
        <f>IF(VLOOKUP($A52,'geocodes &amp; mnemonic list'!$A$5:$E$104,5,FALSE)=0,"",VLOOKUP($A52,'geocodes &amp; mnemonic list'!$A$5:$E$104,5,FALSE))</f>
        <v/>
      </c>
      <c r="D52" s="9" t="str">
        <f t="shared" si="1"/>
        <v/>
      </c>
      <c r="E52" t="str">
        <f t="shared" si="9"/>
        <v/>
      </c>
      <c r="F52" t="str">
        <f t="shared" si="9"/>
        <v/>
      </c>
      <c r="G52" t="str">
        <f t="shared" si="9"/>
        <v/>
      </c>
      <c r="H52" t="str">
        <f t="shared" si="9"/>
        <v/>
      </c>
      <c r="I52" t="str">
        <f t="shared" si="9"/>
        <v/>
      </c>
      <c r="J52" t="str">
        <f t="shared" si="9"/>
        <v/>
      </c>
      <c r="K52" t="str">
        <f t="shared" si="9"/>
        <v/>
      </c>
      <c r="L52" t="str">
        <f t="shared" ref="E52:BA54" si="10">IF(AND($C52&lt;&gt;"",L$2&lt;&gt;""),L$2&amp;"."&amp;$C52,"")</f>
        <v/>
      </c>
      <c r="M52" t="str">
        <f t="shared" si="10"/>
        <v/>
      </c>
      <c r="N52" t="str">
        <f t="shared" si="10"/>
        <v/>
      </c>
      <c r="O52" t="str">
        <f t="shared" si="10"/>
        <v/>
      </c>
      <c r="P52" t="str">
        <f t="shared" si="10"/>
        <v/>
      </c>
      <c r="Q52" t="str">
        <f t="shared" si="10"/>
        <v/>
      </c>
      <c r="R52" t="str">
        <f t="shared" si="10"/>
        <v/>
      </c>
      <c r="S52" t="str">
        <f t="shared" si="10"/>
        <v/>
      </c>
      <c r="T52" t="str">
        <f t="shared" si="10"/>
        <v/>
      </c>
      <c r="U52" t="str">
        <f t="shared" si="10"/>
        <v/>
      </c>
      <c r="V52" t="str">
        <f t="shared" si="10"/>
        <v/>
      </c>
      <c r="W52" t="str">
        <f t="shared" si="10"/>
        <v/>
      </c>
      <c r="X52" t="str">
        <f t="shared" si="10"/>
        <v/>
      </c>
      <c r="Y52" t="str">
        <f t="shared" si="10"/>
        <v/>
      </c>
      <c r="Z52" t="str">
        <f t="shared" si="10"/>
        <v/>
      </c>
      <c r="AA52" t="str">
        <f t="shared" si="10"/>
        <v/>
      </c>
      <c r="AB52" t="str">
        <f t="shared" si="10"/>
        <v/>
      </c>
      <c r="AC52" t="str">
        <f t="shared" si="10"/>
        <v/>
      </c>
      <c r="AD52" t="str">
        <f t="shared" si="10"/>
        <v/>
      </c>
      <c r="AE52" t="str">
        <f t="shared" si="10"/>
        <v/>
      </c>
      <c r="AF52" t="str">
        <f t="shared" si="10"/>
        <v/>
      </c>
      <c r="AG52" t="str">
        <f t="shared" si="10"/>
        <v/>
      </c>
      <c r="AH52" t="str">
        <f t="shared" si="10"/>
        <v/>
      </c>
      <c r="AI52" t="str">
        <f t="shared" si="10"/>
        <v/>
      </c>
      <c r="AJ52" t="str">
        <f t="shared" si="10"/>
        <v/>
      </c>
      <c r="AK52" t="str">
        <f t="shared" si="10"/>
        <v/>
      </c>
      <c r="AL52" t="str">
        <f t="shared" si="10"/>
        <v/>
      </c>
      <c r="AM52" t="str">
        <f t="shared" si="10"/>
        <v/>
      </c>
      <c r="AN52" t="str">
        <f t="shared" si="10"/>
        <v/>
      </c>
      <c r="AO52" t="str">
        <f t="shared" si="10"/>
        <v/>
      </c>
      <c r="AP52" t="str">
        <f t="shared" si="10"/>
        <v/>
      </c>
      <c r="AQ52" t="str">
        <f t="shared" si="10"/>
        <v/>
      </c>
      <c r="AR52" t="str">
        <f t="shared" si="10"/>
        <v/>
      </c>
      <c r="AS52" t="str">
        <f t="shared" si="10"/>
        <v/>
      </c>
      <c r="AT52" t="str">
        <f t="shared" si="10"/>
        <v/>
      </c>
      <c r="AU52" t="str">
        <f t="shared" si="10"/>
        <v/>
      </c>
      <c r="AV52" t="str">
        <f t="shared" si="10"/>
        <v/>
      </c>
      <c r="AW52" t="str">
        <f t="shared" si="10"/>
        <v/>
      </c>
      <c r="AX52" t="str">
        <f t="shared" si="10"/>
        <v/>
      </c>
      <c r="AY52" t="str">
        <f t="shared" si="10"/>
        <v/>
      </c>
      <c r="AZ52" t="str">
        <f t="shared" si="10"/>
        <v/>
      </c>
      <c r="BA52" s="10" t="str">
        <f t="shared" si="10"/>
        <v/>
      </c>
    </row>
    <row r="53" spans="1:53" x14ac:dyDescent="0.25">
      <c r="A53" s="16">
        <v>49</v>
      </c>
      <c r="B53" s="16" t="str">
        <f>IF(VLOOKUP($A53,'geocodes &amp; mnemonic list'!$A$5:$D$55,2,FALSE)&lt;&gt;"",VLOOKUP($A53,'geocodes &amp; mnemonic list'!$A$5:$D$55,2,FALSE),"")</f>
        <v/>
      </c>
      <c r="C53" s="16" t="str">
        <f>IF(VLOOKUP($A53,'geocodes &amp; mnemonic list'!$A$5:$E$104,5,FALSE)=0,"",VLOOKUP($A53,'geocodes &amp; mnemonic list'!$A$5:$E$104,5,FALSE))</f>
        <v/>
      </c>
      <c r="D53" s="9" t="str">
        <f t="shared" si="1"/>
        <v/>
      </c>
      <c r="E53" t="str">
        <f t="shared" si="10"/>
        <v/>
      </c>
      <c r="F53" t="str">
        <f t="shared" si="10"/>
        <v/>
      </c>
      <c r="G53" t="str">
        <f t="shared" si="10"/>
        <v/>
      </c>
      <c r="H53" t="str">
        <f t="shared" si="10"/>
        <v/>
      </c>
      <c r="I53" t="str">
        <f t="shared" si="10"/>
        <v/>
      </c>
      <c r="J53" t="str">
        <f t="shared" si="10"/>
        <v/>
      </c>
      <c r="K53" t="str">
        <f t="shared" si="10"/>
        <v/>
      </c>
      <c r="L53" t="str">
        <f t="shared" si="10"/>
        <v/>
      </c>
      <c r="M53" t="str">
        <f t="shared" si="10"/>
        <v/>
      </c>
      <c r="N53" t="str">
        <f t="shared" si="10"/>
        <v/>
      </c>
      <c r="O53" t="str">
        <f t="shared" si="10"/>
        <v/>
      </c>
      <c r="P53" t="str">
        <f t="shared" si="10"/>
        <v/>
      </c>
      <c r="Q53" t="str">
        <f t="shared" si="10"/>
        <v/>
      </c>
      <c r="R53" t="str">
        <f t="shared" si="10"/>
        <v/>
      </c>
      <c r="S53" t="str">
        <f t="shared" si="10"/>
        <v/>
      </c>
      <c r="T53" t="str">
        <f t="shared" si="10"/>
        <v/>
      </c>
      <c r="U53" t="str">
        <f t="shared" si="10"/>
        <v/>
      </c>
      <c r="V53" t="str">
        <f t="shared" si="10"/>
        <v/>
      </c>
      <c r="W53" t="str">
        <f t="shared" si="10"/>
        <v/>
      </c>
      <c r="X53" t="str">
        <f t="shared" si="10"/>
        <v/>
      </c>
      <c r="Y53" t="str">
        <f t="shared" si="10"/>
        <v/>
      </c>
      <c r="Z53" t="str">
        <f t="shared" si="10"/>
        <v/>
      </c>
      <c r="AA53" t="str">
        <f t="shared" si="10"/>
        <v/>
      </c>
      <c r="AB53" t="str">
        <f t="shared" si="10"/>
        <v/>
      </c>
      <c r="AC53" t="str">
        <f t="shared" si="10"/>
        <v/>
      </c>
      <c r="AD53" t="str">
        <f t="shared" si="10"/>
        <v/>
      </c>
      <c r="AE53" t="str">
        <f t="shared" si="10"/>
        <v/>
      </c>
      <c r="AF53" t="str">
        <f t="shared" si="10"/>
        <v/>
      </c>
      <c r="AG53" t="str">
        <f t="shared" si="10"/>
        <v/>
      </c>
      <c r="AH53" t="str">
        <f t="shared" si="10"/>
        <v/>
      </c>
      <c r="AI53" t="str">
        <f t="shared" si="10"/>
        <v/>
      </c>
      <c r="AJ53" t="str">
        <f t="shared" si="10"/>
        <v/>
      </c>
      <c r="AK53" t="str">
        <f t="shared" si="10"/>
        <v/>
      </c>
      <c r="AL53" t="str">
        <f t="shared" si="10"/>
        <v/>
      </c>
      <c r="AM53" t="str">
        <f t="shared" si="10"/>
        <v/>
      </c>
      <c r="AN53" t="str">
        <f t="shared" si="10"/>
        <v/>
      </c>
      <c r="AO53" t="str">
        <f t="shared" si="10"/>
        <v/>
      </c>
      <c r="AP53" t="str">
        <f t="shared" si="10"/>
        <v/>
      </c>
      <c r="AQ53" t="str">
        <f t="shared" si="10"/>
        <v/>
      </c>
      <c r="AR53" t="str">
        <f t="shared" si="10"/>
        <v/>
      </c>
      <c r="AS53" t="str">
        <f t="shared" si="10"/>
        <v/>
      </c>
      <c r="AT53" t="str">
        <f t="shared" si="10"/>
        <v/>
      </c>
      <c r="AU53" t="str">
        <f t="shared" si="10"/>
        <v/>
      </c>
      <c r="AV53" t="str">
        <f t="shared" si="10"/>
        <v/>
      </c>
      <c r="AW53" t="str">
        <f t="shared" si="10"/>
        <v/>
      </c>
      <c r="AX53" t="str">
        <f t="shared" si="10"/>
        <v/>
      </c>
      <c r="AY53" t="str">
        <f t="shared" si="10"/>
        <v/>
      </c>
      <c r="AZ53" t="str">
        <f t="shared" si="10"/>
        <v/>
      </c>
      <c r="BA53" s="10" t="str">
        <f t="shared" si="10"/>
        <v/>
      </c>
    </row>
    <row r="54" spans="1:53" ht="15.75" thickBot="1" x14ac:dyDescent="0.3">
      <c r="A54" s="16">
        <v>50</v>
      </c>
      <c r="B54" s="16" t="str">
        <f>IF(VLOOKUP($A54,'geocodes &amp; mnemonic list'!$A$5:$D$55,2,FALSE)&lt;&gt;"",VLOOKUP($A54,'geocodes &amp; mnemonic list'!$A$5:$D$55,2,FALSE),"")</f>
        <v/>
      </c>
      <c r="C54" s="16" t="str">
        <f>IF(VLOOKUP($A54,'geocodes &amp; mnemonic list'!$A$5:$E$104,5,FALSE)=0,"",VLOOKUP($A54,'geocodes &amp; mnemonic list'!$A$5:$E$104,5,FALSE))</f>
        <v/>
      </c>
      <c r="D54" s="11" t="str">
        <f t="shared" si="1"/>
        <v/>
      </c>
      <c r="E54" s="12" t="str">
        <f t="shared" si="10"/>
        <v/>
      </c>
      <c r="F54" s="12" t="str">
        <f t="shared" si="10"/>
        <v/>
      </c>
      <c r="G54" s="12" t="str">
        <f t="shared" si="10"/>
        <v/>
      </c>
      <c r="H54" s="12" t="str">
        <f t="shared" si="10"/>
        <v/>
      </c>
      <c r="I54" s="12" t="str">
        <f t="shared" si="10"/>
        <v/>
      </c>
      <c r="J54" s="12" t="str">
        <f t="shared" si="10"/>
        <v/>
      </c>
      <c r="K54" s="12" t="str">
        <f t="shared" si="10"/>
        <v/>
      </c>
      <c r="L54" s="12" t="str">
        <f t="shared" si="10"/>
        <v/>
      </c>
      <c r="M54" s="12" t="str">
        <f t="shared" si="10"/>
        <v/>
      </c>
      <c r="N54" s="12" t="str">
        <f t="shared" si="10"/>
        <v/>
      </c>
      <c r="O54" s="12" t="str">
        <f t="shared" si="10"/>
        <v/>
      </c>
      <c r="P54" s="12" t="str">
        <f t="shared" si="10"/>
        <v/>
      </c>
      <c r="Q54" s="12" t="str">
        <f t="shared" si="10"/>
        <v/>
      </c>
      <c r="R54" s="12" t="str">
        <f t="shared" si="10"/>
        <v/>
      </c>
      <c r="S54" s="12" t="str">
        <f t="shared" si="10"/>
        <v/>
      </c>
      <c r="T54" s="12" t="str">
        <f t="shared" si="10"/>
        <v/>
      </c>
      <c r="U54" s="12" t="str">
        <f t="shared" si="10"/>
        <v/>
      </c>
      <c r="V54" s="12" t="str">
        <f t="shared" si="10"/>
        <v/>
      </c>
      <c r="W54" s="12" t="str">
        <f t="shared" si="10"/>
        <v/>
      </c>
      <c r="X54" s="12" t="str">
        <f t="shared" si="10"/>
        <v/>
      </c>
      <c r="Y54" s="12" t="str">
        <f t="shared" si="10"/>
        <v/>
      </c>
      <c r="Z54" s="12" t="str">
        <f t="shared" si="10"/>
        <v/>
      </c>
      <c r="AA54" s="12" t="str">
        <f t="shared" si="10"/>
        <v/>
      </c>
      <c r="AB54" s="12" t="str">
        <f t="shared" si="10"/>
        <v/>
      </c>
      <c r="AC54" s="12" t="str">
        <f t="shared" si="10"/>
        <v/>
      </c>
      <c r="AD54" s="12" t="str">
        <f t="shared" si="10"/>
        <v/>
      </c>
      <c r="AE54" s="12" t="str">
        <f t="shared" si="10"/>
        <v/>
      </c>
      <c r="AF54" s="12" t="str">
        <f t="shared" si="10"/>
        <v/>
      </c>
      <c r="AG54" s="12" t="str">
        <f t="shared" si="10"/>
        <v/>
      </c>
      <c r="AH54" s="12" t="str">
        <f t="shared" si="10"/>
        <v/>
      </c>
      <c r="AI54" s="12" t="str">
        <f t="shared" si="10"/>
        <v/>
      </c>
      <c r="AJ54" s="12" t="str">
        <f t="shared" si="10"/>
        <v/>
      </c>
      <c r="AK54" s="12" t="str">
        <f t="shared" si="10"/>
        <v/>
      </c>
      <c r="AL54" s="12" t="str">
        <f t="shared" si="10"/>
        <v/>
      </c>
      <c r="AM54" s="12" t="str">
        <f t="shared" si="10"/>
        <v/>
      </c>
      <c r="AN54" s="12" t="str">
        <f t="shared" si="10"/>
        <v/>
      </c>
      <c r="AO54" s="12" t="str">
        <f t="shared" si="10"/>
        <v/>
      </c>
      <c r="AP54" s="12" t="str">
        <f t="shared" si="10"/>
        <v/>
      </c>
      <c r="AQ54" s="12" t="str">
        <f t="shared" si="10"/>
        <v/>
      </c>
      <c r="AR54" s="12" t="str">
        <f t="shared" si="10"/>
        <v/>
      </c>
      <c r="AS54" s="12" t="str">
        <f t="shared" si="10"/>
        <v/>
      </c>
      <c r="AT54" s="12" t="str">
        <f t="shared" si="10"/>
        <v/>
      </c>
      <c r="AU54" s="12" t="str">
        <f t="shared" si="10"/>
        <v/>
      </c>
      <c r="AV54" s="12" t="str">
        <f t="shared" si="10"/>
        <v/>
      </c>
      <c r="AW54" s="12" t="str">
        <f t="shared" si="10"/>
        <v/>
      </c>
      <c r="AX54" s="12" t="str">
        <f t="shared" si="10"/>
        <v/>
      </c>
      <c r="AY54" s="12" t="str">
        <f t="shared" si="10"/>
        <v/>
      </c>
      <c r="AZ54" s="12" t="str">
        <f t="shared" si="10"/>
        <v/>
      </c>
      <c r="BA54" s="13" t="str">
        <f t="shared" si="1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491C-CDFE-4E3E-AB81-D7F4A60D19CE}">
  <sheetPr>
    <tabColor theme="0" tint="-0.14999847407452621"/>
  </sheetPr>
  <dimension ref="A1:BB32"/>
  <sheetViews>
    <sheetView workbookViewId="0">
      <pane xSplit="4" ySplit="3" topLeftCell="AQ4" activePane="bottomRight" state="frozen"/>
      <selection pane="topRight" activeCell="D1" sqref="D1"/>
      <selection pane="bottomLeft" activeCell="A4" sqref="A4"/>
      <selection pane="bottomRight" activeCell="Q37" sqref="Q37"/>
    </sheetView>
  </sheetViews>
  <sheetFormatPr defaultRowHeight="15" x14ac:dyDescent="0.25"/>
  <cols>
    <col min="2" max="3" width="18" customWidth="1"/>
    <col min="4" max="4" width="20.140625" bestFit="1" customWidth="1"/>
    <col min="5" max="5" width="59.7109375" bestFit="1" customWidth="1"/>
    <col min="6" max="8" width="64.140625" bestFit="1" customWidth="1"/>
    <col min="9" max="9" width="59" bestFit="1" customWidth="1"/>
    <col min="10" max="10" width="67.7109375" customWidth="1"/>
    <col min="11" max="11" width="34" customWidth="1"/>
    <col min="12" max="12" width="81.5703125" customWidth="1"/>
    <col min="13" max="13" width="62.140625" customWidth="1"/>
    <col min="14" max="14" width="55.28515625" customWidth="1"/>
    <col min="15" max="15" width="59" customWidth="1"/>
    <col min="16" max="16" width="60.5703125" customWidth="1"/>
    <col min="17" max="17" width="68.28515625" customWidth="1"/>
    <col min="18" max="54" width="14.85546875" customWidth="1"/>
  </cols>
  <sheetData>
    <row r="1" spans="1:54" x14ac:dyDescent="0.25">
      <c r="A1" s="24" t="s">
        <v>176</v>
      </c>
      <c r="B1" s="24"/>
      <c r="C1" s="24"/>
      <c r="D1" s="24"/>
      <c r="E1" s="16">
        <v>1</v>
      </c>
      <c r="F1" s="16">
        <v>2</v>
      </c>
      <c r="G1" s="16">
        <v>3</v>
      </c>
      <c r="H1" s="16">
        <v>4</v>
      </c>
      <c r="I1" s="16">
        <v>5</v>
      </c>
      <c r="J1" s="16">
        <v>6</v>
      </c>
      <c r="K1" s="16">
        <v>7</v>
      </c>
      <c r="L1" s="16">
        <v>8</v>
      </c>
      <c r="M1" s="16">
        <v>9</v>
      </c>
      <c r="N1" s="16">
        <v>10</v>
      </c>
      <c r="O1" s="16">
        <v>11</v>
      </c>
      <c r="P1" s="16">
        <v>12</v>
      </c>
      <c r="Q1" s="16">
        <v>13</v>
      </c>
      <c r="R1" s="16">
        <v>14</v>
      </c>
      <c r="S1" s="16">
        <v>15</v>
      </c>
      <c r="T1" s="16">
        <v>16</v>
      </c>
      <c r="U1" s="16">
        <v>17</v>
      </c>
      <c r="V1" s="16">
        <v>18</v>
      </c>
      <c r="W1" s="16">
        <v>19</v>
      </c>
      <c r="X1" s="16">
        <v>20</v>
      </c>
      <c r="Y1" s="16">
        <v>21</v>
      </c>
      <c r="Z1" s="16">
        <v>22</v>
      </c>
      <c r="AA1" s="16">
        <v>23</v>
      </c>
      <c r="AB1" s="16">
        <v>24</v>
      </c>
      <c r="AC1" s="16">
        <v>25</v>
      </c>
      <c r="AD1" s="16">
        <v>26</v>
      </c>
      <c r="AE1" s="16">
        <v>27</v>
      </c>
      <c r="AF1" s="16">
        <v>28</v>
      </c>
      <c r="AG1" s="16">
        <v>29</v>
      </c>
      <c r="AH1" s="16">
        <v>30</v>
      </c>
      <c r="AI1" s="16">
        <v>31</v>
      </c>
      <c r="AJ1" s="16">
        <v>32</v>
      </c>
      <c r="AK1" s="16">
        <v>33</v>
      </c>
      <c r="AL1" s="16">
        <v>34</v>
      </c>
      <c r="AM1" s="16">
        <v>35</v>
      </c>
      <c r="AN1" s="16">
        <v>36</v>
      </c>
      <c r="AO1" s="16">
        <v>37</v>
      </c>
      <c r="AP1" s="16">
        <v>38</v>
      </c>
      <c r="AQ1" s="16">
        <v>39</v>
      </c>
      <c r="AR1" s="16">
        <v>40</v>
      </c>
      <c r="AS1" s="16">
        <v>41</v>
      </c>
      <c r="AT1" s="16">
        <v>42</v>
      </c>
      <c r="AU1" s="16">
        <v>43</v>
      </c>
      <c r="AV1" s="16">
        <v>44</v>
      </c>
      <c r="AW1" s="16">
        <v>45</v>
      </c>
      <c r="AX1" s="16">
        <v>46</v>
      </c>
      <c r="AY1" s="16">
        <v>47</v>
      </c>
      <c r="AZ1" s="16">
        <v>48</v>
      </c>
      <c r="BA1" s="16">
        <v>49</v>
      </c>
      <c r="BB1" s="16">
        <v>50</v>
      </c>
    </row>
    <row r="2" spans="1:54" x14ac:dyDescent="0.25">
      <c r="A2" s="16"/>
      <c r="B2" s="16"/>
      <c r="C2" s="16"/>
      <c r="D2" s="22" t="s">
        <v>161</v>
      </c>
      <c r="E2" s="16" t="str">
        <f>IF(VLOOKUP(E$1,'geocodes &amp; mnemonic list'!$I:$J,2,FALSE)=0,"", VLOOKUP(E$1,'geocodes &amp; mnemonic list'!$I:$J,2,FALSE))</f>
        <v>FHHOLDQ</v>
      </c>
      <c r="F2" s="16" t="str">
        <f>IF(VLOOKUP(F$1,'geocodes &amp; mnemonic list'!$I:$J,2,FALSE)=0,"", VLOOKUP(F$1,'geocodes &amp; mnemonic list'!$I:$J,2,FALSE))</f>
        <v>FPOP2024Q</v>
      </c>
      <c r="G2" s="16" t="str">
        <f>IF(VLOOKUP(G$1,'geocodes &amp; mnemonic list'!$I:$J,2,FALSE)=0,"", VLOOKUP(G$1,'geocodes &amp; mnemonic list'!$I:$J,2,FALSE))</f>
        <v>FPOP2529Q</v>
      </c>
      <c r="H2" s="16" t="str">
        <f>IF(VLOOKUP(H$1,'geocodes &amp; mnemonic list'!$I:$J,2,FALSE)=0,"", VLOOKUP(H$1,'geocodes &amp; mnemonic list'!$I:$J,2,FALSE))</f>
        <v>FPOP3034Q</v>
      </c>
      <c r="I2" s="24" t="str">
        <f>IF(VLOOKUP(I$1,'geocodes &amp; mnemonic list'!$I:$J,2,FALSE)=0,"", VLOOKUP(I$1,'geocodes &amp; mnemonic list'!$I:$J,2,FALSE))</f>
        <v>FPOPQ</v>
      </c>
      <c r="J2" s="16" t="str">
        <f>IF(VLOOKUP(J$1,'geocodes &amp; mnemonic list'!$I:$J,2,FALSE)=0,"", VLOOKUP(J$1,'geocodes &amp; mnemonic list'!$I:$J,2,FALSE))</f>
        <v>FYHHMEDQ</v>
      </c>
      <c r="K2" s="16" t="str">
        <f>IF(VLOOKUP(K$1,'geocodes &amp; mnemonic list'!$I:$J,2,FALSE)=0,"", VLOOKUP(K$1,'geocodes &amp; mnemonic list'!$I:$J,2,FALSE))</f>
        <v>FET</v>
      </c>
      <c r="L2" s="16" t="str">
        <f>IF(VLOOKUP(L$1,'geocodes &amp; mnemonic list'!$I:$J,2,FALSE)=0,"", VLOOKUP(L$1,'geocodes &amp; mnemonic list'!$I:$J,2,FALSE))</f>
        <v>FCPIU</v>
      </c>
      <c r="M2" s="16" t="str">
        <f>IF(VLOOKUP(M$1,'geocodes &amp; mnemonic list'!$I:$J,2,FALSE)=0,"", VLOOKUP(M$1,'geocodes &amp; mnemonic list'!$I:$J,2,FALSE))</f>
        <v>FGDP$Q</v>
      </c>
      <c r="N2" s="16" t="str">
        <f>IF(VLOOKUP(N$1,'geocodes &amp; mnemonic list'!$I:$J,2,FALSE)=0,"", VLOOKUP(N$1,'geocodes &amp; mnemonic list'!$I:$J,2,FALSE))</f>
        <v>FHPNR</v>
      </c>
      <c r="O2" s="16" t="str">
        <f>IF(VLOOKUP(O$1,'geocodes &amp; mnemonic list'!$I:$J,2,FALSE)=0,"", VLOOKUP(O$1,'geocodes &amp; mnemonic list'!$I:$J,2,FALSE))</f>
        <v>FHPNM</v>
      </c>
      <c r="P2" s="16" t="str">
        <f>IF(VLOOKUP(P$1,'geocodes &amp; mnemonic list'!$I:$J,2,FALSE)=0,"", VLOOKUP(P$1,'geocodes &amp; mnemonic list'!$I:$J,2,FALSE))</f>
        <v>FHX1</v>
      </c>
      <c r="Q2" s="16" t="str">
        <f>IF(VLOOKUP(Q$1,'geocodes &amp; mnemonic list'!$I:$J,2,FALSE)=0,"", VLOOKUP(Q$1,'geocodes &amp; mnemonic list'!$I:$J,2,FALSE))</f>
        <v>FHX1MED</v>
      </c>
      <c r="R2" s="16" t="str">
        <f>IF(VLOOKUP(R$1,'geocodes &amp; mnemonic list'!$I:$J,2,FALSE)=0,"", VLOOKUP(R$1,'geocodes &amp; mnemonic list'!$I:$J,2,FALSE))</f>
        <v/>
      </c>
      <c r="S2" s="16" t="str">
        <f>IF(VLOOKUP(S$1,'geocodes &amp; mnemonic list'!$I:$J,2,FALSE)=0,"", VLOOKUP(S$1,'geocodes &amp; mnemonic list'!$I:$J,2,FALSE))</f>
        <v/>
      </c>
      <c r="T2" s="16" t="str">
        <f>IF(VLOOKUP(T$1,'geocodes &amp; mnemonic list'!$I:$J,2,FALSE)=0,"", VLOOKUP(T$1,'geocodes &amp; mnemonic list'!$I:$J,2,FALSE))</f>
        <v/>
      </c>
      <c r="U2" s="16" t="str">
        <f>IF(VLOOKUP(U$1,'geocodes &amp; mnemonic list'!$I:$J,2,FALSE)=0,"", VLOOKUP(U$1,'geocodes &amp; mnemonic list'!$I:$J,2,FALSE))</f>
        <v/>
      </c>
      <c r="V2" s="16" t="str">
        <f>IF(VLOOKUP(V$1,'geocodes &amp; mnemonic list'!$I:$J,2,FALSE)=0,"", VLOOKUP(V$1,'geocodes &amp; mnemonic list'!$I:$J,2,FALSE))</f>
        <v/>
      </c>
      <c r="W2" s="16" t="str">
        <f>IF(VLOOKUP(W$1,'geocodes &amp; mnemonic list'!$I:$J,2,FALSE)=0,"", VLOOKUP(W$1,'geocodes &amp; mnemonic list'!$I:$J,2,FALSE))</f>
        <v/>
      </c>
      <c r="X2" s="16" t="str">
        <f>IF(VLOOKUP(X$1,'geocodes &amp; mnemonic list'!$I:$J,2,FALSE)=0,"", VLOOKUP(X$1,'geocodes &amp; mnemonic list'!$I:$J,2,FALSE))</f>
        <v/>
      </c>
      <c r="Y2" s="16" t="str">
        <f>IF(VLOOKUP(Y$1,'geocodes &amp; mnemonic list'!$I:$J,2,FALSE)=0,"", VLOOKUP(Y$1,'geocodes &amp; mnemonic list'!$I:$J,2,FALSE))</f>
        <v/>
      </c>
      <c r="Z2" s="16" t="str">
        <f>IF(VLOOKUP(Z$1,'geocodes &amp; mnemonic list'!$I:$J,2,FALSE)=0,"", VLOOKUP(Z$1,'geocodes &amp; mnemonic list'!$I:$J,2,FALSE))</f>
        <v/>
      </c>
      <c r="AA2" s="16" t="str">
        <f>IF(VLOOKUP(AA$1,'geocodes &amp; mnemonic list'!$I:$J,2,FALSE)=0,"", VLOOKUP(AA$1,'geocodes &amp; mnemonic list'!$I:$J,2,FALSE))</f>
        <v/>
      </c>
      <c r="AB2" s="16" t="str">
        <f>IF(VLOOKUP(AB$1,'geocodes &amp; mnemonic list'!$I:$J,2,FALSE)=0,"", VLOOKUP(AB$1,'geocodes &amp; mnemonic list'!$I:$J,2,FALSE))</f>
        <v/>
      </c>
      <c r="AC2" s="16" t="str">
        <f>IF(VLOOKUP(AC$1,'geocodes &amp; mnemonic list'!$I:$J,2,FALSE)=0,"", VLOOKUP(AC$1,'geocodes &amp; mnemonic list'!$I:$J,2,FALSE))</f>
        <v/>
      </c>
      <c r="AD2" s="16" t="str">
        <f>IF(VLOOKUP(AD$1,'geocodes &amp; mnemonic list'!$I:$J,2,FALSE)=0,"", VLOOKUP(AD$1,'geocodes &amp; mnemonic list'!$I:$J,2,FALSE))</f>
        <v/>
      </c>
      <c r="AE2" s="16" t="str">
        <f>IF(VLOOKUP(AE$1,'geocodes &amp; mnemonic list'!$I:$J,2,FALSE)=0,"", VLOOKUP(AE$1,'geocodes &amp; mnemonic list'!$I:$J,2,FALSE))</f>
        <v/>
      </c>
      <c r="AF2" s="16" t="str">
        <f>IF(VLOOKUP(AF$1,'geocodes &amp; mnemonic list'!$I:$J,2,FALSE)=0,"", VLOOKUP(AF$1,'geocodes &amp; mnemonic list'!$I:$J,2,FALSE))</f>
        <v/>
      </c>
      <c r="AG2" s="16" t="str">
        <f>IF(VLOOKUP(AG$1,'geocodes &amp; mnemonic list'!$I:$J,2,FALSE)=0,"", VLOOKUP(AG$1,'geocodes &amp; mnemonic list'!$I:$J,2,FALSE))</f>
        <v/>
      </c>
      <c r="AH2" s="16" t="str">
        <f>IF(VLOOKUP(AH$1,'geocodes &amp; mnemonic list'!$I:$J,2,FALSE)=0,"", VLOOKUP(AH$1,'geocodes &amp; mnemonic list'!$I:$J,2,FALSE))</f>
        <v/>
      </c>
      <c r="AI2" s="16" t="str">
        <f>IF(VLOOKUP(AI$1,'geocodes &amp; mnemonic list'!$I:$J,2,FALSE)=0,"", VLOOKUP(AI$1,'geocodes &amp; mnemonic list'!$I:$J,2,FALSE))</f>
        <v/>
      </c>
      <c r="AJ2" s="16" t="str">
        <f>IF(VLOOKUP(AJ$1,'geocodes &amp; mnemonic list'!$I:$J,2,FALSE)=0,"", VLOOKUP(AJ$1,'geocodes &amp; mnemonic list'!$I:$J,2,FALSE))</f>
        <v/>
      </c>
      <c r="AK2" s="16" t="str">
        <f>IF(VLOOKUP(AK$1,'geocodes &amp; mnemonic list'!$I:$J,2,FALSE)=0,"", VLOOKUP(AK$1,'geocodes &amp; mnemonic list'!$I:$J,2,FALSE))</f>
        <v/>
      </c>
      <c r="AL2" s="16" t="str">
        <f>IF(VLOOKUP(AL$1,'geocodes &amp; mnemonic list'!$I:$J,2,FALSE)=0,"", VLOOKUP(AL$1,'geocodes &amp; mnemonic list'!$I:$J,2,FALSE))</f>
        <v/>
      </c>
      <c r="AM2" s="16" t="str">
        <f>IF(VLOOKUP(AM$1,'geocodes &amp; mnemonic list'!$I:$J,2,FALSE)=0,"", VLOOKUP(AM$1,'geocodes &amp; mnemonic list'!$I:$J,2,FALSE))</f>
        <v/>
      </c>
      <c r="AN2" s="16" t="str">
        <f>IF(VLOOKUP(AN$1,'geocodes &amp; mnemonic list'!$I:$J,2,FALSE)=0,"", VLOOKUP(AN$1,'geocodes &amp; mnemonic list'!$I:$J,2,FALSE))</f>
        <v/>
      </c>
      <c r="AO2" s="16" t="str">
        <f>IF(VLOOKUP(AO$1,'geocodes &amp; mnemonic list'!$I:$J,2,FALSE)=0,"", VLOOKUP(AO$1,'geocodes &amp; mnemonic list'!$I:$J,2,FALSE))</f>
        <v/>
      </c>
      <c r="AP2" s="16" t="str">
        <f>IF(VLOOKUP(AP$1,'geocodes &amp; mnemonic list'!$I:$J,2,FALSE)=0,"", VLOOKUP(AP$1,'geocodes &amp; mnemonic list'!$I:$J,2,FALSE))</f>
        <v/>
      </c>
      <c r="AQ2" s="16" t="str">
        <f>IF(VLOOKUP(AQ$1,'geocodes &amp; mnemonic list'!$I:$J,2,FALSE)=0,"", VLOOKUP(AQ$1,'geocodes &amp; mnemonic list'!$I:$J,2,FALSE))</f>
        <v/>
      </c>
      <c r="AR2" s="16" t="str">
        <f>IF(VLOOKUP(AR$1,'geocodes &amp; mnemonic list'!$I:$J,2,FALSE)=0,"", VLOOKUP(AR$1,'geocodes &amp; mnemonic list'!$I:$J,2,FALSE))</f>
        <v/>
      </c>
      <c r="AS2" s="16" t="str">
        <f>IF(VLOOKUP(AS$1,'geocodes &amp; mnemonic list'!$I:$J,2,FALSE)=0,"", VLOOKUP(AS$1,'geocodes &amp; mnemonic list'!$I:$J,2,FALSE))</f>
        <v/>
      </c>
      <c r="AT2" s="16" t="str">
        <f>IF(VLOOKUP(AT$1,'geocodes &amp; mnemonic list'!$I:$J,2,FALSE)=0,"", VLOOKUP(AT$1,'geocodes &amp; mnemonic list'!$I:$J,2,FALSE))</f>
        <v/>
      </c>
      <c r="AU2" s="16" t="str">
        <f>IF(VLOOKUP(AU$1,'geocodes &amp; mnemonic list'!$I:$J,2,FALSE)=0,"", VLOOKUP(AU$1,'geocodes &amp; mnemonic list'!$I:$J,2,FALSE))</f>
        <v/>
      </c>
      <c r="AV2" s="16" t="str">
        <f>IF(VLOOKUP(AV$1,'geocodes &amp; mnemonic list'!$I:$J,2,FALSE)=0,"", VLOOKUP(AV$1,'geocodes &amp; mnemonic list'!$I:$J,2,FALSE))</f>
        <v/>
      </c>
      <c r="AW2" s="16" t="str">
        <f>IF(VLOOKUP(AW$1,'geocodes &amp; mnemonic list'!$I:$J,2,FALSE)=0,"", VLOOKUP(AW$1,'geocodes &amp; mnemonic list'!$I:$J,2,FALSE))</f>
        <v/>
      </c>
      <c r="AX2" s="16" t="str">
        <f>IF(VLOOKUP(AX$1,'geocodes &amp; mnemonic list'!$I:$J,2,FALSE)=0,"", VLOOKUP(AX$1,'geocodes &amp; mnemonic list'!$I:$J,2,FALSE))</f>
        <v/>
      </c>
      <c r="AY2" s="16" t="str">
        <f>IF(VLOOKUP(AY$1,'geocodes &amp; mnemonic list'!$I:$J,2,FALSE)=0,"", VLOOKUP(AY$1,'geocodes &amp; mnemonic list'!$I:$J,2,FALSE))</f>
        <v/>
      </c>
      <c r="AZ2" s="16" t="str">
        <f>IF(VLOOKUP(AZ$1,'geocodes &amp; mnemonic list'!$I:$J,2,FALSE)=0,"", VLOOKUP(AZ$1,'geocodes &amp; mnemonic list'!$I:$J,2,FALSE))</f>
        <v/>
      </c>
      <c r="BA2" s="16" t="str">
        <f>IF(VLOOKUP(BA$1,'geocodes &amp; mnemonic list'!$I:$J,2,FALSE)=0,"", VLOOKUP(BA$1,'geocodes &amp; mnemonic list'!$I:$J,2,FALSE))</f>
        <v/>
      </c>
      <c r="BB2" s="16" t="str">
        <f>IF(VLOOKUP(BB$1,'geocodes &amp; mnemonic list'!$I:$J,2,FALSE)=0,"", VLOOKUP(BB$1,'geocodes &amp; mnemonic list'!$I:$J,2,FALSE))</f>
        <v/>
      </c>
    </row>
    <row r="3" spans="1:54" x14ac:dyDescent="0.25">
      <c r="A3" s="16" t="s">
        <v>175</v>
      </c>
      <c r="B3" s="16"/>
      <c r="C3" s="16"/>
      <c r="D3" s="16"/>
      <c r="E3" s="16" t="str">
        <f>VLOOKUP(E$2,'geocodes &amp; mnemonic list'!$J:$K,2,FALSE)</f>
        <v>Baseline Scenario (August 2025): Households: Total, (Ths. #, NSA)</v>
      </c>
      <c r="F3" s="16" t="str">
        <f>VLOOKUP(F$2,'geocodes &amp; mnemonic list'!$J:$K,2,FALSE)</f>
        <v>Baseline Scenario (August 2025): Population: Ages 20-24, (Ths. #, NSA)</v>
      </c>
      <c r="G3" s="16" t="str">
        <f>VLOOKUP(G$2,'geocodes &amp; mnemonic list'!$J:$K,2,FALSE)</f>
        <v>Baseline Scenario (August 2025): Population: Ages 25-29, (Ths. #, NSA)</v>
      </c>
      <c r="H3" s="16" t="str">
        <f>VLOOKUP(H$2,'geocodes &amp; mnemonic list'!$J:$K,2,FALSE)</f>
        <v>Baseline Scenario (August 2025): Population: Ages 30-34, (Ths. #, NSA)</v>
      </c>
      <c r="I3" s="16" t="str">
        <f>VLOOKUP(I$2,'geocodes &amp; mnemonic list'!$J:$K,2,FALSE)</f>
        <v>Baseline Scenario (August 2025): Population: Total, (Ths. #, NSA)</v>
      </c>
      <c r="J3" s="16" t="str">
        <f>VLOOKUP(J$2,'geocodes &amp; mnemonic list'!$J:$K,2,FALSE)</f>
        <v>Baseline Scenario (August 2025): Income: Median Household, (USD, SAAR)</v>
      </c>
      <c r="K3" s="16" t="str">
        <f>VLOOKUP(K$2,'geocodes &amp; mnemonic list'!$J:$K,2,FALSE)</f>
        <v>Baseline Scenario (August 2025): Employment: Total Non-Agricultural, (Ths. #, SA)</v>
      </c>
      <c r="L3" s="16" t="str">
        <f>VLOOKUP(L$2,'geocodes &amp; mnemonic list'!$J:$K,2,FALSE)</f>
        <v>Baseline Scenario (August 2025): CPI: Total - All Urban Consumers, (Index 1982-84=100, SA)</v>
      </c>
      <c r="M3" s="16" t="str">
        <f>VLOOKUP(M$2,'geocodes &amp; mnemonic list'!$J:$K,2,FALSE)</f>
        <v>Baseline Scenario (August 2025): Gross Metro Product: Total, (Bil. Ch. 2017 USD, SAAR)</v>
      </c>
      <c r="N3" s="16" t="str">
        <f>VLOOKUP(N$2,'geocodes &amp; mnemonic list'!$J:$K,2,FALSE)</f>
        <v>Baseline Scenario (August 2025): Permits: Residential - Total, (#, SAAR)</v>
      </c>
      <c r="O3" s="16" t="str">
        <f>VLOOKUP(O$2,'geocodes &amp; mnemonic list'!$J:$K,2,FALSE)</f>
        <v>Baseline Scenario (August 2025): Permits: Residential - Multifamily, (#, SAAR)</v>
      </c>
      <c r="P3" s="16" t="str">
        <f>VLOOKUP(P$2,'geocodes &amp; mnemonic list'!$J:$K,2,FALSE)</f>
        <v>Baseline Scenario (August 2025): Home Sales: Existing Single-Family, (Ths. #, SAAR)</v>
      </c>
      <c r="Q3" s="16" t="str">
        <f>VLOOKUP(Q$2,'geocodes &amp; mnemonic list'!$J:$K,2,FALSE)</f>
        <v>Baseline Scenario (August 2025): Existing Single-Family Home Price: Median, (Ths. USD, SA)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</row>
    <row r="4" spans="1:54" ht="15.75" thickBot="1" x14ac:dyDescent="0.3">
      <c r="A4" s="16"/>
      <c r="B4" s="16"/>
      <c r="C4" s="16"/>
      <c r="D4" s="22" t="s">
        <v>169</v>
      </c>
      <c r="E4" s="16" t="str">
        <f>VLOOKUP(E2,'geocodes &amp; mnemonic list'!$J:$L,3,FALSE)</f>
        <v>sum</v>
      </c>
      <c r="F4" s="16" t="str">
        <f>VLOOKUP(F2,'geocodes &amp; mnemonic list'!$J:$L,3,FALSE)</f>
        <v>sum</v>
      </c>
      <c r="G4" s="16" t="str">
        <f>VLOOKUP(G2,'geocodes &amp; mnemonic list'!$J:$L,3,FALSE)</f>
        <v>sum</v>
      </c>
      <c r="H4" s="16" t="str">
        <f>VLOOKUP(H2,'geocodes &amp; mnemonic list'!$J:$L,3,FALSE)</f>
        <v>sum</v>
      </c>
      <c r="I4" s="16" t="str">
        <f>VLOOKUP(I2,'geocodes &amp; mnemonic list'!$J:$L,3,FALSE)</f>
        <v>sum</v>
      </c>
      <c r="J4" s="16" t="str">
        <f>VLOOKUP(J2,'geocodes &amp; mnemonic list'!$J:$L,3,FALSE)</f>
        <v>weighted avg</v>
      </c>
      <c r="K4" s="16" t="str">
        <f>VLOOKUP(K2,'geocodes &amp; mnemonic list'!$J:$L,3,FALSE)</f>
        <v>sum</v>
      </c>
      <c r="L4" s="16" t="str">
        <f>VLOOKUP(L2,'geocodes &amp; mnemonic list'!$J:$L,3,FALSE)</f>
        <v>weighted avg</v>
      </c>
      <c r="M4" s="16" t="str">
        <f>VLOOKUP(M2,'geocodes &amp; mnemonic list'!$J:$L,3,FALSE)</f>
        <v>sum</v>
      </c>
      <c r="N4" s="16" t="str">
        <f>VLOOKUP(N2,'geocodes &amp; mnemonic list'!$J:$L,3,FALSE)</f>
        <v>sum</v>
      </c>
      <c r="O4" s="16" t="str">
        <f>VLOOKUP(O2,'geocodes &amp; mnemonic list'!$J:$L,3,FALSE)</f>
        <v>sum</v>
      </c>
      <c r="P4" s="16" t="str">
        <f>VLOOKUP(P2,'geocodes &amp; mnemonic list'!$J:$L,3,FALSE)</f>
        <v>sum</v>
      </c>
      <c r="Q4" s="16" t="str">
        <f>VLOOKUP(Q2,'geocodes &amp; mnemonic list'!$J:$L,3,FALSE)</f>
        <v>weighted avg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</row>
    <row r="5" spans="1:54" x14ac:dyDescent="0.25">
      <c r="A5" s="16"/>
      <c r="B5" s="17" t="s">
        <v>150</v>
      </c>
      <c r="C5" s="17" t="s">
        <v>170</v>
      </c>
      <c r="D5" s="17" t="s">
        <v>171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8"/>
    </row>
    <row r="6" spans="1:54" x14ac:dyDescent="0.25">
      <c r="A6" s="16">
        <v>28</v>
      </c>
      <c r="B6" s="16" t="s">
        <v>172</v>
      </c>
      <c r="C6" s="16" t="str">
        <f>VLOOKUP($B6&amp;" 1", 'geocodes &amp; mnemonic list'!$B:$E,4,FALSE)</f>
        <v>IUSA_DMEVE</v>
      </c>
      <c r="D6" s="16" t="str">
        <f>VLOOKUP($B6&amp;" 2", 'geocodes &amp; mnemonic list'!$B:$E,4,FALSE)</f>
        <v>IUSA_DMSEB</v>
      </c>
      <c r="E6" s="9" t="str">
        <f>IF(AND($D6&lt;&gt;"",E$2&lt;&gt;""), E$2&amp;"."&amp;$D6&amp;"+"&amp;E$2&amp;"."&amp;$C6,"")</f>
        <v>FHHOLDQ.IUSA_DMSEB+FHHOLDQ.IUSA_DMEVE</v>
      </c>
      <c r="F6" s="23" t="str">
        <f t="shared" ref="F6:J6" si="0">IF(AND($D6&lt;&gt;"",F$2&lt;&gt;""), F$2&amp;"."&amp;$D6&amp;"+"&amp;F$2&amp;"."&amp;$C6,"")</f>
        <v>FPOP2024Q.IUSA_DMSEB+FPOP2024Q.IUSA_DMEVE</v>
      </c>
      <c r="G6" s="23" t="str">
        <f t="shared" si="0"/>
        <v>FPOP2529Q.IUSA_DMSEB+FPOP2529Q.IUSA_DMEVE</v>
      </c>
      <c r="H6" s="23" t="str">
        <f t="shared" si="0"/>
        <v>FPOP3034Q.IUSA_DMSEB+FPOP3034Q.IUSA_DMEVE</v>
      </c>
      <c r="I6" s="23" t="str">
        <f>IF(AND($D6&lt;&gt;"",I$2&lt;&gt;""), I$2&amp;"."&amp;$D6&amp;"+"&amp;I$2&amp;"."&amp;$C6,"")</f>
        <v>FPOPQ.IUSA_DMSEB+FPOPQ.IUSA_DMEVE</v>
      </c>
      <c r="J6" s="23" t="str">
        <f>IF(AND($D6&lt;&gt;"",J$2&lt;&gt;""), "("&amp;$I$2&amp;"."&amp;$D6&amp;"*"&amp;J$2&amp;"."&amp;$D6&amp;" + "&amp;$I$2&amp;"."&amp;$C6&amp;"*"&amp;J$2&amp;"."&amp;$C6&amp;") / ("&amp;$I$2&amp;"."&amp;$D6&amp;" + "&amp;$I$2&amp;"."&amp;$C6&amp;")","")</f>
        <v>(FPOPQ.IUSA_DMSEB*FYHHMEDQ.IUSA_DMSEB + FPOPQ.IUSA_DMEVE*FYHHMEDQ.IUSA_DMEVE) / (FPOPQ.IUSA_DMSEB + FPOPQ.IUSA_DMEVE)</v>
      </c>
      <c r="K6" s="23" t="str">
        <f>IF(AND($D6&lt;&gt;"",K$2&lt;&gt;""), K$2&amp;"."&amp;$D6&amp;"+"&amp;K$2&amp;"."&amp;$C6,"")</f>
        <v>FET.IUSA_DMSEB+FET.IUSA_DMEVE</v>
      </c>
      <c r="L6" s="23" t="str">
        <f>IF(AND($D6&lt;&gt;"",L$2&lt;&gt;""), "("&amp;$I$2&amp;"."&amp;$D6&amp;"*"&amp;L$2&amp;"."&amp;$D6&amp;" + "&amp;$I$2&amp;"."&amp;$C6&amp;"*"&amp;L$2&amp;"."&amp;$C6&amp;") / ("&amp;$I$2&amp;"."&amp;$D6&amp;" + "&amp;$I$2&amp;"."&amp;$C6&amp;")","")</f>
        <v>(FPOPQ.IUSA_DMSEB*FCPIU.IUSA_DMSEB + FPOPQ.IUSA_DMEVE*FCPIU.IUSA_DMEVE) / (FPOPQ.IUSA_DMSEB + FPOPQ.IUSA_DMEVE)</v>
      </c>
      <c r="M6" s="23" t="str">
        <f t="shared" ref="M6:P6" si="1">IF(AND($D6&lt;&gt;"",M$2&lt;&gt;""), M$2&amp;"."&amp;$D6&amp;"+"&amp;M$2&amp;"."&amp;$C6,"")</f>
        <v>FGDP$Q.IUSA_DMSEB+FGDP$Q.IUSA_DMEVE</v>
      </c>
      <c r="N6" s="23" t="str">
        <f t="shared" si="1"/>
        <v>FHPNR.IUSA_DMSEB+FHPNR.IUSA_DMEVE</v>
      </c>
      <c r="O6" s="23" t="str">
        <f t="shared" si="1"/>
        <v>FHPNM.IUSA_DMSEB+FHPNM.IUSA_DMEVE</v>
      </c>
      <c r="P6" s="23" t="str">
        <f t="shared" si="1"/>
        <v>FHX1.IUSA_DMSEB+FHX1.IUSA_DMEVE</v>
      </c>
      <c r="Q6" s="23" t="str">
        <f t="shared" ref="Q6:Q8" si="2">IF(AND($D6&lt;&gt;"",Q$2&lt;&gt;""), "("&amp;$I$2&amp;"."&amp;$D6&amp;"*"&amp;Q$2&amp;"."&amp;$D6&amp;" + "&amp;$I$2&amp;"."&amp;$C6&amp;"*"&amp;Q$2&amp;"."&amp;$C6&amp;") / ("&amp;$I$2&amp;"."&amp;$D6&amp;" + "&amp;$I$2&amp;"."&amp;$C6&amp;")","")</f>
        <v>(FPOPQ.IUSA_DMSEB*FHX1MED.IUSA_DMSEB + FPOPQ.IUSA_DMEVE*FHX1MED.IUSA_DMEVE) / (FPOPQ.IUSA_DMSEB + FPOPQ.IUSA_DMEVE)</v>
      </c>
      <c r="BB6" s="10"/>
    </row>
    <row r="7" spans="1:54" x14ac:dyDescent="0.25">
      <c r="A7" s="16">
        <v>29</v>
      </c>
      <c r="B7" s="16" t="s">
        <v>173</v>
      </c>
      <c r="C7" s="16" t="str">
        <f>VLOOKUP($B7&amp;" 1", 'geocodes &amp; mnemonic list'!$B:$E,4,FALSE)</f>
        <v>IUSA_DMSAF</v>
      </c>
      <c r="D7" s="16" t="str">
        <f>VLOOKUP($B7&amp;" 2", 'geocodes &amp; mnemonic list'!$B:$E,4,FALSE)</f>
        <v>IUSA_DMSRF</v>
      </c>
      <c r="E7" s="9" t="str">
        <f t="shared" ref="E7:P19" si="3">IF(AND($D7&lt;&gt;"",E$2&lt;&gt;""), E$2&amp;"."&amp;$D7&amp;"+"&amp;E$2&amp;"."&amp;$C7,"")</f>
        <v>FHHOLDQ.IUSA_DMSRF+FHHOLDQ.IUSA_DMSAF</v>
      </c>
      <c r="F7" s="23" t="str">
        <f t="shared" si="3"/>
        <v>FPOP2024Q.IUSA_DMSRF+FPOP2024Q.IUSA_DMSAF</v>
      </c>
      <c r="G7" s="23" t="str">
        <f t="shared" si="3"/>
        <v>FPOP2529Q.IUSA_DMSRF+FPOP2529Q.IUSA_DMSAF</v>
      </c>
      <c r="H7" s="23" t="str">
        <f t="shared" si="3"/>
        <v>FPOP3034Q.IUSA_DMSRF+FPOP3034Q.IUSA_DMSAF</v>
      </c>
      <c r="I7" s="23" t="str">
        <f t="shared" si="3"/>
        <v>FPOPQ.IUSA_DMSRF+FPOPQ.IUSA_DMSAF</v>
      </c>
      <c r="J7" s="23" t="str">
        <f t="shared" ref="J7:J8" si="4">IF(AND($D7&lt;&gt;"",J$2&lt;&gt;""), "("&amp;$I$2&amp;"."&amp;$D7&amp;"*"&amp;J$2&amp;"."&amp;$D7&amp;" + "&amp;$I$2&amp;"."&amp;$C7&amp;"*"&amp;J$2&amp;"."&amp;$C7&amp;") / ("&amp;$I$2&amp;"."&amp;$D7&amp;" + "&amp;$I$2&amp;"."&amp;$C7&amp;")","")</f>
        <v>(FPOPQ.IUSA_DMSRF*FYHHMEDQ.IUSA_DMSRF + FPOPQ.IUSA_DMSAF*FYHHMEDQ.IUSA_DMSAF) / (FPOPQ.IUSA_DMSRF + FPOPQ.IUSA_DMSAF)</v>
      </c>
      <c r="K7" s="23" t="str">
        <f t="shared" si="3"/>
        <v>FET.IUSA_DMSRF+FET.IUSA_DMSAF</v>
      </c>
      <c r="L7" s="23" t="str">
        <f t="shared" ref="L7:L8" si="5">IF(AND($D7&lt;&gt;"",L$2&lt;&gt;""), "("&amp;$I$2&amp;"."&amp;$D7&amp;"*"&amp;L$2&amp;"."&amp;$D7&amp;" + "&amp;$I$2&amp;"."&amp;$C7&amp;"*"&amp;L$2&amp;"."&amp;$C7&amp;") / ("&amp;$I$2&amp;"."&amp;$D7&amp;" + "&amp;$I$2&amp;"."&amp;$C7&amp;")","")</f>
        <v>(FPOPQ.IUSA_DMSRF*FCPIU.IUSA_DMSRF + FPOPQ.IUSA_DMSAF*FCPIU.IUSA_DMSAF) / (FPOPQ.IUSA_DMSRF + FPOPQ.IUSA_DMSAF)</v>
      </c>
      <c r="M7" s="23" t="str">
        <f t="shared" si="3"/>
        <v>FGDP$Q.IUSA_DMSRF+FGDP$Q.IUSA_DMSAF</v>
      </c>
      <c r="N7" s="23" t="str">
        <f t="shared" si="3"/>
        <v>FHPNR.IUSA_DMSRF+FHPNR.IUSA_DMSAF</v>
      </c>
      <c r="O7" s="23" t="str">
        <f t="shared" si="3"/>
        <v>FHPNM.IUSA_DMSRF+FHPNM.IUSA_DMSAF</v>
      </c>
      <c r="P7" s="23" t="str">
        <f t="shared" si="3"/>
        <v>FHX1.IUSA_DMSRF+FHX1.IUSA_DMSAF</v>
      </c>
      <c r="Q7" s="23" t="str">
        <f t="shared" si="2"/>
        <v>(FPOPQ.IUSA_DMSRF*FHX1MED.IUSA_DMSRF + FPOPQ.IUSA_DMSAF*FHX1MED.IUSA_DMSAF) / (FPOPQ.IUSA_DMSRF + FPOPQ.IUSA_DMSAF)</v>
      </c>
      <c r="BB7" s="10"/>
    </row>
    <row r="8" spans="1:54" x14ac:dyDescent="0.25">
      <c r="A8" s="16">
        <v>30</v>
      </c>
      <c r="B8" s="16" t="s">
        <v>174</v>
      </c>
      <c r="C8" s="16" t="str">
        <f>VLOOKUP($B8&amp;" 1", 'geocodes &amp; mnemonic list'!$B:$E,4,FALSE)</f>
        <v>IUSA_MRAL</v>
      </c>
      <c r="D8" s="16" t="str">
        <f>VLOOKUP($B8&amp;" 2", 'geocodes &amp; mnemonic list'!$B:$E,4,FALSE)</f>
        <v>IUSA_MDUR</v>
      </c>
      <c r="E8" s="9" t="str">
        <f t="shared" si="3"/>
        <v>FHHOLDQ.IUSA_MDUR+FHHOLDQ.IUSA_MRAL</v>
      </c>
      <c r="F8" s="23" t="str">
        <f t="shared" si="3"/>
        <v>FPOP2024Q.IUSA_MDUR+FPOP2024Q.IUSA_MRAL</v>
      </c>
      <c r="G8" s="23" t="str">
        <f t="shared" si="3"/>
        <v>FPOP2529Q.IUSA_MDUR+FPOP2529Q.IUSA_MRAL</v>
      </c>
      <c r="H8" s="23" t="str">
        <f t="shared" si="3"/>
        <v>FPOP3034Q.IUSA_MDUR+FPOP3034Q.IUSA_MRAL</v>
      </c>
      <c r="I8" s="23" t="str">
        <f t="shared" si="3"/>
        <v>FPOPQ.IUSA_MDUR+FPOPQ.IUSA_MRAL</v>
      </c>
      <c r="J8" s="23" t="str">
        <f t="shared" si="4"/>
        <v>(FPOPQ.IUSA_MDUR*FYHHMEDQ.IUSA_MDUR + FPOPQ.IUSA_MRAL*FYHHMEDQ.IUSA_MRAL) / (FPOPQ.IUSA_MDUR + FPOPQ.IUSA_MRAL)</v>
      </c>
      <c r="K8" s="23" t="str">
        <f t="shared" si="3"/>
        <v>FET.IUSA_MDUR+FET.IUSA_MRAL</v>
      </c>
      <c r="L8" s="23" t="str">
        <f t="shared" si="5"/>
        <v>(FPOPQ.IUSA_MDUR*FCPIU.IUSA_MDUR + FPOPQ.IUSA_MRAL*FCPIU.IUSA_MRAL) / (FPOPQ.IUSA_MDUR + FPOPQ.IUSA_MRAL)</v>
      </c>
      <c r="M8" s="23" t="str">
        <f t="shared" si="3"/>
        <v>FGDP$Q.IUSA_MDUR+FGDP$Q.IUSA_MRAL</v>
      </c>
      <c r="N8" s="23" t="str">
        <f t="shared" si="3"/>
        <v>FHPNR.IUSA_MDUR+FHPNR.IUSA_MRAL</v>
      </c>
      <c r="O8" s="23" t="str">
        <f t="shared" si="3"/>
        <v>FHPNM.IUSA_MDUR+FHPNM.IUSA_MRAL</v>
      </c>
      <c r="P8" s="23" t="str">
        <f t="shared" si="3"/>
        <v>FHX1.IUSA_MDUR+FHX1.IUSA_MRAL</v>
      </c>
      <c r="Q8" s="23" t="str">
        <f t="shared" si="2"/>
        <v>(FPOPQ.IUSA_MDUR*FHX1MED.IUSA_MDUR + FPOPQ.IUSA_MRAL*FHX1MED.IUSA_MRAL) / (FPOPQ.IUSA_MDUR + FPOPQ.IUSA_MRAL)</v>
      </c>
      <c r="BB8" s="10"/>
    </row>
    <row r="9" spans="1:54" x14ac:dyDescent="0.25">
      <c r="A9" s="16">
        <v>31</v>
      </c>
      <c r="B9" s="16"/>
      <c r="C9" s="16"/>
      <c r="D9" s="16"/>
      <c r="E9" s="9" t="str">
        <f t="shared" si="3"/>
        <v/>
      </c>
      <c r="F9" t="str">
        <f t="shared" ref="F6:BB11" si="6">IF(AND($D9&lt;&gt;"",F$2&lt;&gt;""),F$2&amp;"."&amp;$D9,"")</f>
        <v/>
      </c>
      <c r="G9" t="str">
        <f t="shared" si="6"/>
        <v/>
      </c>
      <c r="H9" t="str">
        <f t="shared" si="6"/>
        <v/>
      </c>
      <c r="I9" t="str">
        <f t="shared" si="6"/>
        <v/>
      </c>
      <c r="J9" t="str">
        <f t="shared" si="6"/>
        <v/>
      </c>
      <c r="K9" t="str">
        <f t="shared" si="6"/>
        <v/>
      </c>
      <c r="L9" t="str">
        <f t="shared" si="6"/>
        <v/>
      </c>
      <c r="M9" t="str">
        <f t="shared" si="6"/>
        <v/>
      </c>
      <c r="N9" t="str">
        <f t="shared" si="6"/>
        <v/>
      </c>
      <c r="O9" t="str">
        <f t="shared" si="6"/>
        <v/>
      </c>
      <c r="P9" t="str">
        <f t="shared" si="6"/>
        <v/>
      </c>
      <c r="Q9" t="str">
        <f t="shared" si="6"/>
        <v/>
      </c>
      <c r="R9" t="str">
        <f t="shared" si="6"/>
        <v/>
      </c>
      <c r="S9" t="str">
        <f t="shared" si="6"/>
        <v/>
      </c>
      <c r="T9" t="str">
        <f t="shared" si="6"/>
        <v/>
      </c>
      <c r="U9" t="str">
        <f t="shared" si="6"/>
        <v/>
      </c>
      <c r="V9" t="str">
        <f t="shared" si="6"/>
        <v/>
      </c>
      <c r="W9" t="str">
        <f t="shared" si="6"/>
        <v/>
      </c>
      <c r="X9" t="str">
        <f t="shared" si="6"/>
        <v/>
      </c>
      <c r="Y9" t="str">
        <f t="shared" si="6"/>
        <v/>
      </c>
      <c r="Z9" t="str">
        <f t="shared" si="6"/>
        <v/>
      </c>
      <c r="AA9" t="str">
        <f t="shared" si="6"/>
        <v/>
      </c>
      <c r="AB9" t="str">
        <f t="shared" si="6"/>
        <v/>
      </c>
      <c r="AC9" t="str">
        <f t="shared" si="6"/>
        <v/>
      </c>
      <c r="AD9" t="str">
        <f t="shared" si="6"/>
        <v/>
      </c>
      <c r="AE9" t="str">
        <f t="shared" si="6"/>
        <v/>
      </c>
      <c r="AF9" t="str">
        <f t="shared" si="6"/>
        <v/>
      </c>
      <c r="AG9" t="str">
        <f t="shared" si="6"/>
        <v/>
      </c>
      <c r="AH9" t="str">
        <f t="shared" si="6"/>
        <v/>
      </c>
      <c r="AI9" t="str">
        <f t="shared" si="6"/>
        <v/>
      </c>
      <c r="AJ9" t="str">
        <f t="shared" si="6"/>
        <v/>
      </c>
      <c r="AK9" t="str">
        <f t="shared" si="6"/>
        <v/>
      </c>
      <c r="AL9" t="str">
        <f t="shared" si="6"/>
        <v/>
      </c>
      <c r="AM9" t="str">
        <f t="shared" si="6"/>
        <v/>
      </c>
      <c r="AN9" t="str">
        <f t="shared" si="6"/>
        <v/>
      </c>
      <c r="AO9" t="str">
        <f t="shared" si="6"/>
        <v/>
      </c>
      <c r="AP9" t="str">
        <f t="shared" si="6"/>
        <v/>
      </c>
      <c r="AQ9" t="str">
        <f t="shared" si="6"/>
        <v/>
      </c>
      <c r="AR9" t="str">
        <f t="shared" si="6"/>
        <v/>
      </c>
      <c r="AS9" t="str">
        <f t="shared" si="6"/>
        <v/>
      </c>
      <c r="AT9" t="str">
        <f t="shared" si="6"/>
        <v/>
      </c>
      <c r="AU9" t="str">
        <f t="shared" si="6"/>
        <v/>
      </c>
      <c r="AV9" t="str">
        <f t="shared" si="6"/>
        <v/>
      </c>
      <c r="AW9" t="str">
        <f t="shared" si="6"/>
        <v/>
      </c>
      <c r="AX9" t="str">
        <f t="shared" si="6"/>
        <v/>
      </c>
      <c r="AY9" t="str">
        <f t="shared" si="6"/>
        <v/>
      </c>
      <c r="AZ9" t="str">
        <f t="shared" si="6"/>
        <v/>
      </c>
      <c r="BA9" t="str">
        <f t="shared" si="6"/>
        <v/>
      </c>
      <c r="BB9" s="10" t="str">
        <f t="shared" si="6"/>
        <v/>
      </c>
    </row>
    <row r="10" spans="1:54" x14ac:dyDescent="0.25">
      <c r="A10" s="16">
        <v>32</v>
      </c>
      <c r="B10" s="16"/>
      <c r="C10" s="16"/>
      <c r="D10" s="16"/>
      <c r="E10" s="9" t="str">
        <f t="shared" si="3"/>
        <v/>
      </c>
      <c r="F10" t="str">
        <f t="shared" si="6"/>
        <v/>
      </c>
      <c r="G10" t="str">
        <f t="shared" si="6"/>
        <v/>
      </c>
      <c r="H10" t="str">
        <f t="shared" si="6"/>
        <v/>
      </c>
      <c r="I10" t="str">
        <f t="shared" si="6"/>
        <v/>
      </c>
      <c r="J10" t="str">
        <f t="shared" si="6"/>
        <v/>
      </c>
      <c r="K10" t="str">
        <f t="shared" si="6"/>
        <v/>
      </c>
      <c r="L10" t="str">
        <f t="shared" si="6"/>
        <v/>
      </c>
      <c r="M10" t="str">
        <f t="shared" si="6"/>
        <v/>
      </c>
      <c r="N10" t="str">
        <f t="shared" si="6"/>
        <v/>
      </c>
      <c r="O10" t="str">
        <f t="shared" si="6"/>
        <v/>
      </c>
      <c r="P10" t="str">
        <f t="shared" si="6"/>
        <v/>
      </c>
      <c r="Q10" t="str">
        <f t="shared" si="6"/>
        <v/>
      </c>
      <c r="R10" t="str">
        <f t="shared" si="6"/>
        <v/>
      </c>
      <c r="S10" t="str">
        <f t="shared" si="6"/>
        <v/>
      </c>
      <c r="T10" t="str">
        <f t="shared" si="6"/>
        <v/>
      </c>
      <c r="U10" t="str">
        <f t="shared" si="6"/>
        <v/>
      </c>
      <c r="V10" t="str">
        <f t="shared" si="6"/>
        <v/>
      </c>
      <c r="W10" t="str">
        <f t="shared" si="6"/>
        <v/>
      </c>
      <c r="X10" t="str">
        <f t="shared" si="6"/>
        <v/>
      </c>
      <c r="Y10" t="str">
        <f t="shared" si="6"/>
        <v/>
      </c>
      <c r="Z10" t="str">
        <f t="shared" si="6"/>
        <v/>
      </c>
      <c r="AA10" t="str">
        <f t="shared" si="6"/>
        <v/>
      </c>
      <c r="AB10" t="str">
        <f t="shared" si="6"/>
        <v/>
      </c>
      <c r="AC10" t="str">
        <f t="shared" si="6"/>
        <v/>
      </c>
      <c r="AD10" t="str">
        <f t="shared" si="6"/>
        <v/>
      </c>
      <c r="AE10" t="str">
        <f t="shared" si="6"/>
        <v/>
      </c>
      <c r="AF10" t="str">
        <f t="shared" si="6"/>
        <v/>
      </c>
      <c r="AG10" t="str">
        <f t="shared" si="6"/>
        <v/>
      </c>
      <c r="AH10" t="str">
        <f t="shared" si="6"/>
        <v/>
      </c>
      <c r="AI10" t="str">
        <f t="shared" si="6"/>
        <v/>
      </c>
      <c r="AJ10" t="str">
        <f t="shared" si="6"/>
        <v/>
      </c>
      <c r="AK10" t="str">
        <f t="shared" si="6"/>
        <v/>
      </c>
      <c r="AL10" t="str">
        <f t="shared" si="6"/>
        <v/>
      </c>
      <c r="AM10" t="str">
        <f t="shared" si="6"/>
        <v/>
      </c>
      <c r="AN10" t="str">
        <f t="shared" si="6"/>
        <v/>
      </c>
      <c r="AO10" t="str">
        <f t="shared" si="6"/>
        <v/>
      </c>
      <c r="AP10" t="str">
        <f t="shared" si="6"/>
        <v/>
      </c>
      <c r="AQ10" t="str">
        <f t="shared" si="6"/>
        <v/>
      </c>
      <c r="AR10" t="str">
        <f t="shared" si="6"/>
        <v/>
      </c>
      <c r="AS10" t="str">
        <f t="shared" si="6"/>
        <v/>
      </c>
      <c r="AT10" t="str">
        <f t="shared" si="6"/>
        <v/>
      </c>
      <c r="AU10" t="str">
        <f t="shared" si="6"/>
        <v/>
      </c>
      <c r="AV10" t="str">
        <f t="shared" si="6"/>
        <v/>
      </c>
      <c r="AW10" t="str">
        <f t="shared" si="6"/>
        <v/>
      </c>
      <c r="AX10" t="str">
        <f t="shared" si="6"/>
        <v/>
      </c>
      <c r="AY10" t="str">
        <f t="shared" si="6"/>
        <v/>
      </c>
      <c r="AZ10" t="str">
        <f t="shared" si="6"/>
        <v/>
      </c>
      <c r="BA10" t="str">
        <f t="shared" si="6"/>
        <v/>
      </c>
      <c r="BB10" s="10" t="str">
        <f t="shared" si="6"/>
        <v/>
      </c>
    </row>
    <row r="11" spans="1:54" x14ac:dyDescent="0.25">
      <c r="A11" s="16">
        <v>33</v>
      </c>
      <c r="B11" s="16"/>
      <c r="C11" s="16"/>
      <c r="D11" s="16"/>
      <c r="E11" s="9" t="str">
        <f t="shared" si="3"/>
        <v/>
      </c>
      <c r="F11" t="str">
        <f t="shared" si="6"/>
        <v/>
      </c>
      <c r="G11" t="str">
        <f t="shared" si="6"/>
        <v/>
      </c>
      <c r="H11" t="str">
        <f t="shared" si="6"/>
        <v/>
      </c>
      <c r="I11" t="str">
        <f t="shared" si="6"/>
        <v/>
      </c>
      <c r="J11" t="str">
        <f t="shared" si="6"/>
        <v/>
      </c>
      <c r="K11" t="str">
        <f t="shared" si="6"/>
        <v/>
      </c>
      <c r="L11" t="str">
        <f t="shared" si="6"/>
        <v/>
      </c>
      <c r="M11" t="str">
        <f t="shared" si="6"/>
        <v/>
      </c>
      <c r="N11" t="str">
        <f t="shared" si="6"/>
        <v/>
      </c>
      <c r="O11" t="str">
        <f t="shared" si="6"/>
        <v/>
      </c>
      <c r="P11" t="str">
        <f t="shared" si="6"/>
        <v/>
      </c>
      <c r="Q11" t="str">
        <f t="shared" si="6"/>
        <v/>
      </c>
      <c r="R11" t="str">
        <f t="shared" si="6"/>
        <v/>
      </c>
      <c r="S11" t="str">
        <f t="shared" si="6"/>
        <v/>
      </c>
      <c r="T11" t="str">
        <f t="shared" si="6"/>
        <v/>
      </c>
      <c r="U11" t="str">
        <f t="shared" si="6"/>
        <v/>
      </c>
      <c r="V11" t="str">
        <f t="shared" si="6"/>
        <v/>
      </c>
      <c r="W11" t="str">
        <f t="shared" si="6"/>
        <v/>
      </c>
      <c r="X11" t="str">
        <f t="shared" si="6"/>
        <v/>
      </c>
      <c r="Y11" t="str">
        <f t="shared" si="6"/>
        <v/>
      </c>
      <c r="Z11" t="str">
        <f t="shared" si="6"/>
        <v/>
      </c>
      <c r="AA11" t="str">
        <f t="shared" si="6"/>
        <v/>
      </c>
      <c r="AB11" t="str">
        <f t="shared" si="6"/>
        <v/>
      </c>
      <c r="AC11" t="str">
        <f t="shared" si="6"/>
        <v/>
      </c>
      <c r="AD11" t="str">
        <f t="shared" si="6"/>
        <v/>
      </c>
      <c r="AE11" t="str">
        <f t="shared" ref="AE11:BB11" si="7">IF(AND($D11&lt;&gt;"",AE$2&lt;&gt;""),AE$2&amp;"."&amp;$D11,"")</f>
        <v/>
      </c>
      <c r="AF11" t="str">
        <f t="shared" si="7"/>
        <v/>
      </c>
      <c r="AG11" t="str">
        <f t="shared" si="7"/>
        <v/>
      </c>
      <c r="AH11" t="str">
        <f t="shared" si="7"/>
        <v/>
      </c>
      <c r="AI11" t="str">
        <f t="shared" si="7"/>
        <v/>
      </c>
      <c r="AJ11" t="str">
        <f t="shared" si="7"/>
        <v/>
      </c>
      <c r="AK11" t="str">
        <f t="shared" si="7"/>
        <v/>
      </c>
      <c r="AL11" t="str">
        <f t="shared" si="7"/>
        <v/>
      </c>
      <c r="AM11" t="str">
        <f t="shared" si="7"/>
        <v/>
      </c>
      <c r="AN11" t="str">
        <f t="shared" si="7"/>
        <v/>
      </c>
      <c r="AO11" t="str">
        <f t="shared" si="7"/>
        <v/>
      </c>
      <c r="AP11" t="str">
        <f t="shared" si="7"/>
        <v/>
      </c>
      <c r="AQ11" t="str">
        <f t="shared" si="7"/>
        <v/>
      </c>
      <c r="AR11" t="str">
        <f t="shared" si="7"/>
        <v/>
      </c>
      <c r="AS11" t="str">
        <f t="shared" si="7"/>
        <v/>
      </c>
      <c r="AT11" t="str">
        <f t="shared" si="7"/>
        <v/>
      </c>
      <c r="AU11" t="str">
        <f t="shared" si="7"/>
        <v/>
      </c>
      <c r="AV11" t="str">
        <f t="shared" si="7"/>
        <v/>
      </c>
      <c r="AW11" t="str">
        <f t="shared" si="7"/>
        <v/>
      </c>
      <c r="AX11" t="str">
        <f t="shared" si="7"/>
        <v/>
      </c>
      <c r="AY11" t="str">
        <f t="shared" si="7"/>
        <v/>
      </c>
      <c r="AZ11" t="str">
        <f t="shared" si="7"/>
        <v/>
      </c>
      <c r="BA11" t="str">
        <f t="shared" si="7"/>
        <v/>
      </c>
      <c r="BB11" s="10" t="str">
        <f t="shared" si="7"/>
        <v/>
      </c>
    </row>
    <row r="12" spans="1:54" x14ac:dyDescent="0.25">
      <c r="A12" s="16">
        <v>34</v>
      </c>
      <c r="B12" s="16" t="str">
        <f>IF(VLOOKUP($A12,'geocodes &amp; mnemonic list'!$A$5:$D$55,2,FALSE)&lt;&gt;"",VLOOKUP($A12,'geocodes &amp; mnemonic list'!$A$5:$D$55,2,FALSE),"")</f>
        <v/>
      </c>
      <c r="C12" s="16"/>
      <c r="D12" s="16" t="str">
        <f>IF(VLOOKUP($A12,'geocodes &amp; mnemonic list'!$A$5:$E$104,5,FALSE)=0,"",VLOOKUP($A12,'geocodes &amp; mnemonic list'!$A$5:$E$104,5,FALSE))</f>
        <v/>
      </c>
      <c r="E12" s="9" t="str">
        <f t="shared" si="3"/>
        <v/>
      </c>
      <c r="F12" t="str">
        <f>IF(AND($D12&lt;&gt;"",F$2&lt;&gt;""),F$2&amp;"."&amp;$D12,"")</f>
        <v/>
      </c>
      <c r="G12" t="str">
        <f>IF(AND($D12&lt;&gt;"",G$2&lt;&gt;""),G$2&amp;"."&amp;$D12,"")</f>
        <v/>
      </c>
      <c r="H12" t="str">
        <f>IF(AND($D12&lt;&gt;"",H$2&lt;&gt;""),H$2&amp;"."&amp;$D12,"")</f>
        <v/>
      </c>
      <c r="I12" t="str">
        <f>IF(AND($D12&lt;&gt;"",I$2&lt;&gt;""),I$2&amp;"."&amp;$D12,"")</f>
        <v/>
      </c>
      <c r="J12" t="str">
        <f>IF(AND($D12&lt;&gt;"",J$2&lt;&gt;""),J$2&amp;"."&amp;$D12,"")</f>
        <v/>
      </c>
      <c r="K12" t="str">
        <f>IF(AND($D12&lt;&gt;"",K$2&lt;&gt;""),K$2&amp;"."&amp;$D12,"")</f>
        <v/>
      </c>
      <c r="L12" t="str">
        <f>IF(AND($D12&lt;&gt;"",L$2&lt;&gt;""),L$2&amp;"."&amp;$D12,"")</f>
        <v/>
      </c>
      <c r="M12" t="str">
        <f>IF(AND($D12&lt;&gt;"",M$2&lt;&gt;""),M$2&amp;"."&amp;$D12,"")</f>
        <v/>
      </c>
      <c r="N12" t="str">
        <f>IF(AND($D12&lt;&gt;"",N$2&lt;&gt;""),N$2&amp;"."&amp;$D12,"")</f>
        <v/>
      </c>
      <c r="O12" t="str">
        <f>IF(AND($D12&lt;&gt;"",O$2&lt;&gt;""),O$2&amp;"."&amp;$D12,"")</f>
        <v/>
      </c>
      <c r="P12" t="str">
        <f>IF(AND($D12&lt;&gt;"",P$2&lt;&gt;""),P$2&amp;"."&amp;$D12,"")</f>
        <v/>
      </c>
      <c r="Q12" t="str">
        <f>IF(AND($D12&lt;&gt;"",Q$2&lt;&gt;""),Q$2&amp;"."&amp;$D12,"")</f>
        <v/>
      </c>
      <c r="R12" t="str">
        <f>IF(AND($D12&lt;&gt;"",R$2&lt;&gt;""),R$2&amp;"."&amp;$D12,"")</f>
        <v/>
      </c>
      <c r="S12" t="str">
        <f>IF(AND($D12&lt;&gt;"",S$2&lt;&gt;""),S$2&amp;"."&amp;$D12,"")</f>
        <v/>
      </c>
      <c r="T12" t="str">
        <f>IF(AND($D12&lt;&gt;"",T$2&lt;&gt;""),T$2&amp;"."&amp;$D12,"")</f>
        <v/>
      </c>
      <c r="U12" t="str">
        <f t="shared" ref="U12:BB19" si="8">IF(AND($D12&lt;&gt;"",U$2&lt;&gt;""),U$2&amp;"."&amp;$D12,"")</f>
        <v/>
      </c>
      <c r="V12" t="str">
        <f t="shared" si="8"/>
        <v/>
      </c>
      <c r="W12" t="str">
        <f t="shared" si="8"/>
        <v/>
      </c>
      <c r="X12" t="str">
        <f t="shared" si="8"/>
        <v/>
      </c>
      <c r="Y12" t="str">
        <f t="shared" si="8"/>
        <v/>
      </c>
      <c r="Z12" t="str">
        <f t="shared" si="8"/>
        <v/>
      </c>
      <c r="AA12" t="str">
        <f t="shared" si="8"/>
        <v/>
      </c>
      <c r="AB12" t="str">
        <f t="shared" si="8"/>
        <v/>
      </c>
      <c r="AC12" t="str">
        <f t="shared" si="8"/>
        <v/>
      </c>
      <c r="AD12" t="str">
        <f t="shared" si="8"/>
        <v/>
      </c>
      <c r="AE12" t="str">
        <f t="shared" si="8"/>
        <v/>
      </c>
      <c r="AF12" t="str">
        <f t="shared" si="8"/>
        <v/>
      </c>
      <c r="AG12" t="str">
        <f t="shared" si="8"/>
        <v/>
      </c>
      <c r="AH12" t="str">
        <f t="shared" si="8"/>
        <v/>
      </c>
      <c r="AI12" t="str">
        <f t="shared" si="8"/>
        <v/>
      </c>
      <c r="AJ12" t="str">
        <f t="shared" si="8"/>
        <v/>
      </c>
      <c r="AK12" t="str">
        <f t="shared" si="8"/>
        <v/>
      </c>
      <c r="AL12" t="str">
        <f t="shared" si="8"/>
        <v/>
      </c>
      <c r="AM12" t="str">
        <f t="shared" si="8"/>
        <v/>
      </c>
      <c r="AN12" t="str">
        <f t="shared" si="8"/>
        <v/>
      </c>
      <c r="AO12" t="str">
        <f t="shared" si="8"/>
        <v/>
      </c>
      <c r="AP12" t="str">
        <f t="shared" si="8"/>
        <v/>
      </c>
      <c r="AQ12" t="str">
        <f t="shared" si="8"/>
        <v/>
      </c>
      <c r="AR12" t="str">
        <f t="shared" si="8"/>
        <v/>
      </c>
      <c r="AS12" t="str">
        <f t="shared" si="8"/>
        <v/>
      </c>
      <c r="AT12" t="str">
        <f t="shared" si="8"/>
        <v/>
      </c>
      <c r="AU12" t="str">
        <f t="shared" si="8"/>
        <v/>
      </c>
      <c r="AV12" t="str">
        <f t="shared" si="8"/>
        <v/>
      </c>
      <c r="AW12" t="str">
        <f t="shared" si="8"/>
        <v/>
      </c>
      <c r="AX12" t="str">
        <f t="shared" si="8"/>
        <v/>
      </c>
      <c r="AY12" t="str">
        <f t="shared" si="8"/>
        <v/>
      </c>
      <c r="AZ12" t="str">
        <f t="shared" si="8"/>
        <v/>
      </c>
      <c r="BA12" t="str">
        <f t="shared" si="8"/>
        <v/>
      </c>
      <c r="BB12" s="10" t="str">
        <f t="shared" si="8"/>
        <v/>
      </c>
    </row>
    <row r="13" spans="1:54" x14ac:dyDescent="0.25">
      <c r="A13" s="16">
        <v>35</v>
      </c>
      <c r="B13" s="16" t="str">
        <f>IF(VLOOKUP($A13,'geocodes &amp; mnemonic list'!$A$5:$D$55,2,FALSE)&lt;&gt;"",VLOOKUP($A13,'geocodes &amp; mnemonic list'!$A$5:$D$55,2,FALSE),"")</f>
        <v/>
      </c>
      <c r="C13" s="16"/>
      <c r="D13" s="16" t="str">
        <f>IF(VLOOKUP($A13,'geocodes &amp; mnemonic list'!$A$5:$E$104,5,FALSE)=0,"",VLOOKUP($A13,'geocodes &amp; mnemonic list'!$A$5:$E$104,5,FALSE))</f>
        <v/>
      </c>
      <c r="E13" s="9" t="str">
        <f t="shared" si="3"/>
        <v/>
      </c>
      <c r="F13" t="str">
        <f>IF(AND($D13&lt;&gt;"",F$2&lt;&gt;""),F$2&amp;"."&amp;$D13,"")</f>
        <v/>
      </c>
      <c r="G13" t="str">
        <f>IF(AND($D13&lt;&gt;"",G$2&lt;&gt;""),G$2&amp;"."&amp;$D13,"")</f>
        <v/>
      </c>
      <c r="H13" t="str">
        <f>IF(AND($D13&lt;&gt;"",H$2&lt;&gt;""),H$2&amp;"."&amp;$D13,"")</f>
        <v/>
      </c>
      <c r="I13" t="str">
        <f>IF(AND($D13&lt;&gt;"",I$2&lt;&gt;""),I$2&amp;"."&amp;$D13,"")</f>
        <v/>
      </c>
      <c r="J13" t="str">
        <f>IF(AND($D13&lt;&gt;"",J$2&lt;&gt;""),J$2&amp;"."&amp;$D13,"")</f>
        <v/>
      </c>
      <c r="K13" t="str">
        <f>IF(AND($D13&lt;&gt;"",K$2&lt;&gt;""),K$2&amp;"."&amp;$D13,"")</f>
        <v/>
      </c>
      <c r="L13" t="str">
        <f>IF(AND($D13&lt;&gt;"",L$2&lt;&gt;""),L$2&amp;"."&amp;$D13,"")</f>
        <v/>
      </c>
      <c r="M13" t="str">
        <f>IF(AND($D13&lt;&gt;"",M$2&lt;&gt;""),M$2&amp;"."&amp;$D13,"")</f>
        <v/>
      </c>
      <c r="N13" t="str">
        <f>IF(AND($D13&lt;&gt;"",N$2&lt;&gt;""),N$2&amp;"."&amp;$D13,"")</f>
        <v/>
      </c>
      <c r="O13" t="str">
        <f>IF(AND($D13&lt;&gt;"",O$2&lt;&gt;""),O$2&amp;"."&amp;$D13,"")</f>
        <v/>
      </c>
      <c r="P13" t="str">
        <f>IF(AND($D13&lt;&gt;"",P$2&lt;&gt;""),P$2&amp;"."&amp;$D13,"")</f>
        <v/>
      </c>
      <c r="Q13" t="str">
        <f>IF(AND($D13&lt;&gt;"",Q$2&lt;&gt;""),Q$2&amp;"."&amp;$D13,"")</f>
        <v/>
      </c>
      <c r="R13" t="str">
        <f>IF(AND($D13&lt;&gt;"",R$2&lt;&gt;""),R$2&amp;"."&amp;$D13,"")</f>
        <v/>
      </c>
      <c r="S13" t="str">
        <f>IF(AND($D13&lt;&gt;"",S$2&lt;&gt;""),S$2&amp;"."&amp;$D13,"")</f>
        <v/>
      </c>
      <c r="T13" t="str">
        <f>IF(AND($D13&lt;&gt;"",T$2&lt;&gt;""),T$2&amp;"."&amp;$D13,"")</f>
        <v/>
      </c>
      <c r="U13" t="str">
        <f t="shared" si="8"/>
        <v/>
      </c>
      <c r="V13" t="str">
        <f t="shared" si="8"/>
        <v/>
      </c>
      <c r="W13" t="str">
        <f t="shared" si="8"/>
        <v/>
      </c>
      <c r="X13" t="str">
        <f t="shared" si="8"/>
        <v/>
      </c>
      <c r="Y13" t="str">
        <f t="shared" si="8"/>
        <v/>
      </c>
      <c r="Z13" t="str">
        <f t="shared" si="8"/>
        <v/>
      </c>
      <c r="AA13" t="str">
        <f t="shared" si="8"/>
        <v/>
      </c>
      <c r="AB13" t="str">
        <f t="shared" si="8"/>
        <v/>
      </c>
      <c r="AC13" t="str">
        <f t="shared" si="8"/>
        <v/>
      </c>
      <c r="AD13" t="str">
        <f t="shared" si="8"/>
        <v/>
      </c>
      <c r="AE13" t="str">
        <f t="shared" si="8"/>
        <v/>
      </c>
      <c r="AF13" t="str">
        <f t="shared" si="8"/>
        <v/>
      </c>
      <c r="AG13" t="str">
        <f t="shared" si="8"/>
        <v/>
      </c>
      <c r="AH13" t="str">
        <f t="shared" si="8"/>
        <v/>
      </c>
      <c r="AI13" t="str">
        <f t="shared" si="8"/>
        <v/>
      </c>
      <c r="AJ13" t="str">
        <f t="shared" si="8"/>
        <v/>
      </c>
      <c r="AK13" t="str">
        <f t="shared" si="8"/>
        <v/>
      </c>
      <c r="AL13" t="str">
        <f t="shared" si="8"/>
        <v/>
      </c>
      <c r="AM13" t="str">
        <f t="shared" si="8"/>
        <v/>
      </c>
      <c r="AN13" t="str">
        <f t="shared" si="8"/>
        <v/>
      </c>
      <c r="AO13" t="str">
        <f t="shared" si="8"/>
        <v/>
      </c>
      <c r="AP13" t="str">
        <f t="shared" si="8"/>
        <v/>
      </c>
      <c r="AQ13" t="str">
        <f t="shared" si="8"/>
        <v/>
      </c>
      <c r="AR13" t="str">
        <f t="shared" si="8"/>
        <v/>
      </c>
      <c r="AS13" t="str">
        <f t="shared" si="8"/>
        <v/>
      </c>
      <c r="AT13" t="str">
        <f t="shared" si="8"/>
        <v/>
      </c>
      <c r="AU13" t="str">
        <f t="shared" si="8"/>
        <v/>
      </c>
      <c r="AV13" t="str">
        <f t="shared" si="8"/>
        <v/>
      </c>
      <c r="AW13" t="str">
        <f t="shared" si="8"/>
        <v/>
      </c>
      <c r="AX13" t="str">
        <f t="shared" si="8"/>
        <v/>
      </c>
      <c r="AY13" t="str">
        <f t="shared" si="8"/>
        <v/>
      </c>
      <c r="AZ13" t="str">
        <f t="shared" si="8"/>
        <v/>
      </c>
      <c r="BA13" t="str">
        <f t="shared" si="8"/>
        <v/>
      </c>
      <c r="BB13" s="10" t="str">
        <f t="shared" si="8"/>
        <v/>
      </c>
    </row>
    <row r="14" spans="1:54" x14ac:dyDescent="0.25">
      <c r="A14" s="16">
        <v>36</v>
      </c>
      <c r="B14" s="16" t="str">
        <f>IF(VLOOKUP($A14,'geocodes &amp; mnemonic list'!$A$5:$D$55,2,FALSE)&lt;&gt;"",VLOOKUP($A14,'geocodes &amp; mnemonic list'!$A$5:$D$55,2,FALSE),"")</f>
        <v/>
      </c>
      <c r="C14" s="16"/>
      <c r="D14" s="16" t="str">
        <f>IF(VLOOKUP($A14,'geocodes &amp; mnemonic list'!$A$5:$E$104,5,FALSE)=0,"",VLOOKUP($A14,'geocodes &amp; mnemonic list'!$A$5:$E$104,5,FALSE))</f>
        <v/>
      </c>
      <c r="E14" s="9" t="str">
        <f t="shared" si="3"/>
        <v/>
      </c>
      <c r="F14" t="str">
        <f>IF(AND($D14&lt;&gt;"",F$2&lt;&gt;""),F$2&amp;"."&amp;$D14,"")</f>
        <v/>
      </c>
      <c r="G14" t="str">
        <f>IF(AND($D14&lt;&gt;"",G$2&lt;&gt;""),G$2&amp;"."&amp;$D14,"")</f>
        <v/>
      </c>
      <c r="H14" t="str">
        <f>IF(AND($D14&lt;&gt;"",H$2&lt;&gt;""),H$2&amp;"."&amp;$D14,"")</f>
        <v/>
      </c>
      <c r="I14" t="str">
        <f>IF(AND($D14&lt;&gt;"",I$2&lt;&gt;""),I$2&amp;"."&amp;$D14,"")</f>
        <v/>
      </c>
      <c r="J14" t="str">
        <f>IF(AND($D14&lt;&gt;"",J$2&lt;&gt;""),J$2&amp;"."&amp;$D14,"")</f>
        <v/>
      </c>
      <c r="K14" t="str">
        <f>IF(AND($D14&lt;&gt;"",K$2&lt;&gt;""),K$2&amp;"."&amp;$D14,"")</f>
        <v/>
      </c>
      <c r="L14" t="str">
        <f>IF(AND($D14&lt;&gt;"",L$2&lt;&gt;""),L$2&amp;"."&amp;$D14,"")</f>
        <v/>
      </c>
      <c r="M14" t="str">
        <f>IF(AND($D14&lt;&gt;"",M$2&lt;&gt;""),M$2&amp;"."&amp;$D14,"")</f>
        <v/>
      </c>
      <c r="N14" t="str">
        <f>IF(AND($D14&lt;&gt;"",N$2&lt;&gt;""),N$2&amp;"."&amp;$D14,"")</f>
        <v/>
      </c>
      <c r="O14" t="str">
        <f>IF(AND($D14&lt;&gt;"",O$2&lt;&gt;""),O$2&amp;"."&amp;$D14,"")</f>
        <v/>
      </c>
      <c r="P14" t="str">
        <f>IF(AND($D14&lt;&gt;"",P$2&lt;&gt;""),P$2&amp;"."&amp;$D14,"")</f>
        <v/>
      </c>
      <c r="Q14" t="str">
        <f>IF(AND($D14&lt;&gt;"",Q$2&lt;&gt;""),Q$2&amp;"."&amp;$D14,"")</f>
        <v/>
      </c>
      <c r="R14" t="str">
        <f>IF(AND($D14&lt;&gt;"",R$2&lt;&gt;""),R$2&amp;"."&amp;$D14,"")</f>
        <v/>
      </c>
      <c r="S14" t="str">
        <f>IF(AND($D14&lt;&gt;"",S$2&lt;&gt;""),S$2&amp;"."&amp;$D14,"")</f>
        <v/>
      </c>
      <c r="T14" t="str">
        <f>IF(AND($D14&lt;&gt;"",T$2&lt;&gt;""),T$2&amp;"."&amp;$D14,"")</f>
        <v/>
      </c>
      <c r="U14" t="str">
        <f t="shared" si="8"/>
        <v/>
      </c>
      <c r="V14" t="str">
        <f t="shared" si="8"/>
        <v/>
      </c>
      <c r="W14" t="str">
        <f t="shared" si="8"/>
        <v/>
      </c>
      <c r="X14" t="str">
        <f t="shared" si="8"/>
        <v/>
      </c>
      <c r="Y14" t="str">
        <f t="shared" si="8"/>
        <v/>
      </c>
      <c r="Z14" t="str">
        <f t="shared" si="8"/>
        <v/>
      </c>
      <c r="AA14" t="str">
        <f t="shared" si="8"/>
        <v/>
      </c>
      <c r="AB14" t="str">
        <f t="shared" si="8"/>
        <v/>
      </c>
      <c r="AC14" t="str">
        <f t="shared" si="8"/>
        <v/>
      </c>
      <c r="AD14" t="str">
        <f t="shared" si="8"/>
        <v/>
      </c>
      <c r="AE14" t="str">
        <f t="shared" si="8"/>
        <v/>
      </c>
      <c r="AF14" t="str">
        <f t="shared" si="8"/>
        <v/>
      </c>
      <c r="AG14" t="str">
        <f t="shared" si="8"/>
        <v/>
      </c>
      <c r="AH14" t="str">
        <f t="shared" si="8"/>
        <v/>
      </c>
      <c r="AI14" t="str">
        <f t="shared" si="8"/>
        <v/>
      </c>
      <c r="AJ14" t="str">
        <f t="shared" si="8"/>
        <v/>
      </c>
      <c r="AK14" t="str">
        <f t="shared" si="8"/>
        <v/>
      </c>
      <c r="AL14" t="str">
        <f t="shared" si="8"/>
        <v/>
      </c>
      <c r="AM14" t="str">
        <f t="shared" si="8"/>
        <v/>
      </c>
      <c r="AN14" t="str">
        <f t="shared" si="8"/>
        <v/>
      </c>
      <c r="AO14" t="str">
        <f t="shared" si="8"/>
        <v/>
      </c>
      <c r="AP14" t="str">
        <f t="shared" si="8"/>
        <v/>
      </c>
      <c r="AQ14" t="str">
        <f t="shared" si="8"/>
        <v/>
      </c>
      <c r="AR14" t="str">
        <f t="shared" si="8"/>
        <v/>
      </c>
      <c r="AS14" t="str">
        <f t="shared" si="8"/>
        <v/>
      </c>
      <c r="AT14" t="str">
        <f t="shared" si="8"/>
        <v/>
      </c>
      <c r="AU14" t="str">
        <f t="shared" si="8"/>
        <v/>
      </c>
      <c r="AV14" t="str">
        <f t="shared" si="8"/>
        <v/>
      </c>
      <c r="AW14" t="str">
        <f t="shared" si="8"/>
        <v/>
      </c>
      <c r="AX14" t="str">
        <f t="shared" si="8"/>
        <v/>
      </c>
      <c r="AY14" t="str">
        <f t="shared" si="8"/>
        <v/>
      </c>
      <c r="AZ14" t="str">
        <f t="shared" si="8"/>
        <v/>
      </c>
      <c r="BA14" t="str">
        <f t="shared" si="8"/>
        <v/>
      </c>
      <c r="BB14" s="10" t="str">
        <f t="shared" si="8"/>
        <v/>
      </c>
    </row>
    <row r="15" spans="1:54" x14ac:dyDescent="0.25">
      <c r="A15" s="16">
        <v>37</v>
      </c>
      <c r="B15" s="16" t="str">
        <f>IF(VLOOKUP($A15,'geocodes &amp; mnemonic list'!$A$5:$D$55,2,FALSE)&lt;&gt;"",VLOOKUP($A15,'geocodes &amp; mnemonic list'!$A$5:$D$55,2,FALSE),"")</f>
        <v/>
      </c>
      <c r="C15" s="16"/>
      <c r="D15" s="16" t="str">
        <f>IF(VLOOKUP($A15,'geocodes &amp; mnemonic list'!$A$5:$E$104,5,FALSE)=0,"",VLOOKUP($A15,'geocodes &amp; mnemonic list'!$A$5:$E$104,5,FALSE))</f>
        <v/>
      </c>
      <c r="E15" s="9" t="str">
        <f t="shared" si="3"/>
        <v/>
      </c>
      <c r="F15" t="str">
        <f>IF(AND($D15&lt;&gt;"",F$2&lt;&gt;""),F$2&amp;"."&amp;$D15,"")</f>
        <v/>
      </c>
      <c r="G15" t="str">
        <f>IF(AND($D15&lt;&gt;"",G$2&lt;&gt;""),G$2&amp;"."&amp;$D15,"")</f>
        <v/>
      </c>
      <c r="H15" t="str">
        <f>IF(AND($D15&lt;&gt;"",H$2&lt;&gt;""),H$2&amp;"."&amp;$D15,"")</f>
        <v/>
      </c>
      <c r="I15" t="str">
        <f>IF(AND($D15&lt;&gt;"",I$2&lt;&gt;""),I$2&amp;"."&amp;$D15,"")</f>
        <v/>
      </c>
      <c r="J15" t="str">
        <f>IF(AND($D15&lt;&gt;"",J$2&lt;&gt;""),J$2&amp;"."&amp;$D15,"")</f>
        <v/>
      </c>
      <c r="K15" t="str">
        <f>IF(AND($D15&lt;&gt;"",K$2&lt;&gt;""),K$2&amp;"."&amp;$D15,"")</f>
        <v/>
      </c>
      <c r="L15" t="str">
        <f>IF(AND($D15&lt;&gt;"",L$2&lt;&gt;""),L$2&amp;"."&amp;$D15,"")</f>
        <v/>
      </c>
      <c r="M15" t="str">
        <f>IF(AND($D15&lt;&gt;"",M$2&lt;&gt;""),M$2&amp;"."&amp;$D15,"")</f>
        <v/>
      </c>
      <c r="N15" t="str">
        <f>IF(AND($D15&lt;&gt;"",N$2&lt;&gt;""),N$2&amp;"."&amp;$D15,"")</f>
        <v/>
      </c>
      <c r="O15" t="str">
        <f>IF(AND($D15&lt;&gt;"",O$2&lt;&gt;""),O$2&amp;"."&amp;$D15,"")</f>
        <v/>
      </c>
      <c r="P15" t="str">
        <f>IF(AND($D15&lt;&gt;"",P$2&lt;&gt;""),P$2&amp;"."&amp;$D15,"")</f>
        <v/>
      </c>
      <c r="Q15" t="str">
        <f>IF(AND($D15&lt;&gt;"",Q$2&lt;&gt;""),Q$2&amp;"."&amp;$D15,"")</f>
        <v/>
      </c>
      <c r="R15" t="str">
        <f>IF(AND($D15&lt;&gt;"",R$2&lt;&gt;""),R$2&amp;"."&amp;$D15,"")</f>
        <v/>
      </c>
      <c r="S15" t="str">
        <f>IF(AND($D15&lt;&gt;"",S$2&lt;&gt;""),S$2&amp;"."&amp;$D15,"")</f>
        <v/>
      </c>
      <c r="T15" t="str">
        <f>IF(AND($D15&lt;&gt;"",T$2&lt;&gt;""),T$2&amp;"."&amp;$D15,"")</f>
        <v/>
      </c>
      <c r="U15" t="str">
        <f t="shared" si="8"/>
        <v/>
      </c>
      <c r="V15" t="str">
        <f t="shared" si="8"/>
        <v/>
      </c>
      <c r="W15" t="str">
        <f t="shared" si="8"/>
        <v/>
      </c>
      <c r="X15" t="str">
        <f t="shared" si="8"/>
        <v/>
      </c>
      <c r="Y15" t="str">
        <f t="shared" si="8"/>
        <v/>
      </c>
      <c r="Z15" t="str">
        <f t="shared" si="8"/>
        <v/>
      </c>
      <c r="AA15" t="str">
        <f t="shared" si="8"/>
        <v/>
      </c>
      <c r="AB15" t="str">
        <f t="shared" si="8"/>
        <v/>
      </c>
      <c r="AC15" t="str">
        <f t="shared" si="8"/>
        <v/>
      </c>
      <c r="AD15" t="str">
        <f t="shared" si="8"/>
        <v/>
      </c>
      <c r="AE15" t="str">
        <f t="shared" si="8"/>
        <v/>
      </c>
      <c r="AF15" t="str">
        <f t="shared" si="8"/>
        <v/>
      </c>
      <c r="AG15" t="str">
        <f t="shared" si="8"/>
        <v/>
      </c>
      <c r="AH15" t="str">
        <f t="shared" si="8"/>
        <v/>
      </c>
      <c r="AI15" t="str">
        <f t="shared" si="8"/>
        <v/>
      </c>
      <c r="AJ15" t="str">
        <f t="shared" si="8"/>
        <v/>
      </c>
      <c r="AK15" t="str">
        <f t="shared" si="8"/>
        <v/>
      </c>
      <c r="AL15" t="str">
        <f t="shared" si="8"/>
        <v/>
      </c>
      <c r="AM15" t="str">
        <f t="shared" si="8"/>
        <v/>
      </c>
      <c r="AN15" t="str">
        <f t="shared" si="8"/>
        <v/>
      </c>
      <c r="AO15" t="str">
        <f t="shared" si="8"/>
        <v/>
      </c>
      <c r="AP15" t="str">
        <f t="shared" si="8"/>
        <v/>
      </c>
      <c r="AQ15" t="str">
        <f t="shared" si="8"/>
        <v/>
      </c>
      <c r="AR15" t="str">
        <f t="shared" si="8"/>
        <v/>
      </c>
      <c r="AS15" t="str">
        <f t="shared" si="8"/>
        <v/>
      </c>
      <c r="AT15" t="str">
        <f t="shared" si="8"/>
        <v/>
      </c>
      <c r="AU15" t="str">
        <f t="shared" si="8"/>
        <v/>
      </c>
      <c r="AV15" t="str">
        <f t="shared" si="8"/>
        <v/>
      </c>
      <c r="AW15" t="str">
        <f t="shared" si="8"/>
        <v/>
      </c>
      <c r="AX15" t="str">
        <f t="shared" si="8"/>
        <v/>
      </c>
      <c r="AY15" t="str">
        <f t="shared" si="8"/>
        <v/>
      </c>
      <c r="AZ15" t="str">
        <f t="shared" si="8"/>
        <v/>
      </c>
      <c r="BA15" t="str">
        <f t="shared" si="8"/>
        <v/>
      </c>
      <c r="BB15" s="10" t="str">
        <f t="shared" si="8"/>
        <v/>
      </c>
    </row>
    <row r="16" spans="1:54" x14ac:dyDescent="0.25">
      <c r="A16" s="16">
        <v>38</v>
      </c>
      <c r="B16" s="16" t="str">
        <f>IF(VLOOKUP($A16,'geocodes &amp; mnemonic list'!$A$5:$D$55,2,FALSE)&lt;&gt;"",VLOOKUP($A16,'geocodes &amp; mnemonic list'!$A$5:$D$55,2,FALSE),"")</f>
        <v/>
      </c>
      <c r="C16" s="16"/>
      <c r="D16" s="16" t="str">
        <f>IF(VLOOKUP($A16,'geocodes &amp; mnemonic list'!$A$5:$E$104,5,FALSE)=0,"",VLOOKUP($A16,'geocodes &amp; mnemonic list'!$A$5:$E$104,5,FALSE))</f>
        <v/>
      </c>
      <c r="E16" s="9" t="str">
        <f t="shared" si="3"/>
        <v/>
      </c>
      <c r="F16" t="str">
        <f>IF(AND($D16&lt;&gt;"",F$2&lt;&gt;""),F$2&amp;"."&amp;$D16,"")</f>
        <v/>
      </c>
      <c r="G16" t="str">
        <f>IF(AND($D16&lt;&gt;"",G$2&lt;&gt;""),G$2&amp;"."&amp;$D16,"")</f>
        <v/>
      </c>
      <c r="H16" t="str">
        <f>IF(AND($D16&lt;&gt;"",H$2&lt;&gt;""),H$2&amp;"."&amp;$D16,"")</f>
        <v/>
      </c>
      <c r="I16" t="str">
        <f>IF(AND($D16&lt;&gt;"",I$2&lt;&gt;""),I$2&amp;"."&amp;$D16,"")</f>
        <v/>
      </c>
      <c r="J16" t="str">
        <f>IF(AND($D16&lt;&gt;"",J$2&lt;&gt;""),J$2&amp;"."&amp;$D16,"")</f>
        <v/>
      </c>
      <c r="K16" t="str">
        <f>IF(AND($D16&lt;&gt;"",K$2&lt;&gt;""),K$2&amp;"."&amp;$D16,"")</f>
        <v/>
      </c>
      <c r="L16" t="str">
        <f>IF(AND($D16&lt;&gt;"",L$2&lt;&gt;""),L$2&amp;"."&amp;$D16,"")</f>
        <v/>
      </c>
      <c r="M16" t="str">
        <f>IF(AND($D16&lt;&gt;"",M$2&lt;&gt;""),M$2&amp;"."&amp;$D16,"")</f>
        <v/>
      </c>
      <c r="N16" t="str">
        <f>IF(AND($D16&lt;&gt;"",N$2&lt;&gt;""),N$2&amp;"."&amp;$D16,"")</f>
        <v/>
      </c>
      <c r="O16" t="str">
        <f>IF(AND($D16&lt;&gt;"",O$2&lt;&gt;""),O$2&amp;"."&amp;$D16,"")</f>
        <v/>
      </c>
      <c r="P16" t="str">
        <f>IF(AND($D16&lt;&gt;"",P$2&lt;&gt;""),P$2&amp;"."&amp;$D16,"")</f>
        <v/>
      </c>
      <c r="Q16" t="str">
        <f>IF(AND($D16&lt;&gt;"",Q$2&lt;&gt;""),Q$2&amp;"."&amp;$D16,"")</f>
        <v/>
      </c>
      <c r="R16" t="str">
        <f>IF(AND($D16&lt;&gt;"",R$2&lt;&gt;""),R$2&amp;"."&amp;$D16,"")</f>
        <v/>
      </c>
      <c r="S16" t="str">
        <f>IF(AND($D16&lt;&gt;"",S$2&lt;&gt;""),S$2&amp;"."&amp;$D16,"")</f>
        <v/>
      </c>
      <c r="T16" t="str">
        <f>IF(AND($D16&lt;&gt;"",T$2&lt;&gt;""),T$2&amp;"."&amp;$D16,"")</f>
        <v/>
      </c>
      <c r="U16" t="str">
        <f t="shared" si="8"/>
        <v/>
      </c>
      <c r="V16" t="str">
        <f t="shared" si="8"/>
        <v/>
      </c>
      <c r="W16" t="str">
        <f t="shared" si="8"/>
        <v/>
      </c>
      <c r="X16" t="str">
        <f t="shared" si="8"/>
        <v/>
      </c>
      <c r="Y16" t="str">
        <f t="shared" si="8"/>
        <v/>
      </c>
      <c r="Z16" t="str">
        <f t="shared" si="8"/>
        <v/>
      </c>
      <c r="AA16" t="str">
        <f t="shared" si="8"/>
        <v/>
      </c>
      <c r="AB16" t="str">
        <f t="shared" si="8"/>
        <v/>
      </c>
      <c r="AC16" t="str">
        <f t="shared" si="8"/>
        <v/>
      </c>
      <c r="AD16" t="str">
        <f t="shared" si="8"/>
        <v/>
      </c>
      <c r="AE16" t="str">
        <f t="shared" si="8"/>
        <v/>
      </c>
      <c r="AF16" t="str">
        <f t="shared" si="8"/>
        <v/>
      </c>
      <c r="AG16" t="str">
        <f t="shared" si="8"/>
        <v/>
      </c>
      <c r="AH16" t="str">
        <f t="shared" si="8"/>
        <v/>
      </c>
      <c r="AI16" t="str">
        <f t="shared" si="8"/>
        <v/>
      </c>
      <c r="AJ16" t="str">
        <f t="shared" si="8"/>
        <v/>
      </c>
      <c r="AK16" t="str">
        <f t="shared" si="8"/>
        <v/>
      </c>
      <c r="AL16" t="str">
        <f t="shared" si="8"/>
        <v/>
      </c>
      <c r="AM16" t="str">
        <f t="shared" si="8"/>
        <v/>
      </c>
      <c r="AN16" t="str">
        <f t="shared" si="8"/>
        <v/>
      </c>
      <c r="AO16" t="str">
        <f t="shared" si="8"/>
        <v/>
      </c>
      <c r="AP16" t="str">
        <f t="shared" si="8"/>
        <v/>
      </c>
      <c r="AQ16" t="str">
        <f t="shared" si="8"/>
        <v/>
      </c>
      <c r="AR16" t="str">
        <f t="shared" si="8"/>
        <v/>
      </c>
      <c r="AS16" t="str">
        <f t="shared" si="8"/>
        <v/>
      </c>
      <c r="AT16" t="str">
        <f t="shared" si="8"/>
        <v/>
      </c>
      <c r="AU16" t="str">
        <f t="shared" si="8"/>
        <v/>
      </c>
      <c r="AV16" t="str">
        <f t="shared" si="8"/>
        <v/>
      </c>
      <c r="AW16" t="str">
        <f t="shared" si="8"/>
        <v/>
      </c>
      <c r="AX16" t="str">
        <f t="shared" si="8"/>
        <v/>
      </c>
      <c r="AY16" t="str">
        <f t="shared" si="8"/>
        <v/>
      </c>
      <c r="AZ16" t="str">
        <f t="shared" si="8"/>
        <v/>
      </c>
      <c r="BA16" t="str">
        <f t="shared" si="8"/>
        <v/>
      </c>
      <c r="BB16" s="10" t="str">
        <f t="shared" si="8"/>
        <v/>
      </c>
    </row>
    <row r="17" spans="1:54" x14ac:dyDescent="0.25">
      <c r="A17" s="16">
        <v>39</v>
      </c>
      <c r="B17" s="16" t="str">
        <f>IF(VLOOKUP($A17,'geocodes &amp; mnemonic list'!$A$5:$D$55,2,FALSE)&lt;&gt;"",VLOOKUP($A17,'geocodes &amp; mnemonic list'!$A$5:$D$55,2,FALSE),"")</f>
        <v/>
      </c>
      <c r="C17" s="16"/>
      <c r="D17" s="16" t="str">
        <f>IF(VLOOKUP($A17,'geocodes &amp; mnemonic list'!$A$5:$E$104,5,FALSE)=0,"",VLOOKUP($A17,'geocodes &amp; mnemonic list'!$A$5:$E$104,5,FALSE))</f>
        <v/>
      </c>
      <c r="E17" s="9" t="str">
        <f t="shared" si="3"/>
        <v/>
      </c>
      <c r="F17" t="str">
        <f>IF(AND($D17&lt;&gt;"",F$2&lt;&gt;""),F$2&amp;"."&amp;$D17,"")</f>
        <v/>
      </c>
      <c r="G17" t="str">
        <f>IF(AND($D17&lt;&gt;"",G$2&lt;&gt;""),G$2&amp;"."&amp;$D17,"")</f>
        <v/>
      </c>
      <c r="H17" t="str">
        <f>IF(AND($D17&lt;&gt;"",H$2&lt;&gt;""),H$2&amp;"."&amp;$D17,"")</f>
        <v/>
      </c>
      <c r="I17" t="str">
        <f>IF(AND($D17&lt;&gt;"",I$2&lt;&gt;""),I$2&amp;"."&amp;$D17,"")</f>
        <v/>
      </c>
      <c r="J17" t="str">
        <f>IF(AND($D17&lt;&gt;"",J$2&lt;&gt;""),J$2&amp;"."&amp;$D17,"")</f>
        <v/>
      </c>
      <c r="K17" t="str">
        <f>IF(AND($D17&lt;&gt;"",K$2&lt;&gt;""),K$2&amp;"."&amp;$D17,"")</f>
        <v/>
      </c>
      <c r="L17" t="str">
        <f>IF(AND($D17&lt;&gt;"",L$2&lt;&gt;""),L$2&amp;"."&amp;$D17,"")</f>
        <v/>
      </c>
      <c r="M17" t="str">
        <f>IF(AND($D17&lt;&gt;"",M$2&lt;&gt;""),M$2&amp;"."&amp;$D17,"")</f>
        <v/>
      </c>
      <c r="N17" t="str">
        <f>IF(AND($D17&lt;&gt;"",N$2&lt;&gt;""),N$2&amp;"."&amp;$D17,"")</f>
        <v/>
      </c>
      <c r="O17" t="str">
        <f>IF(AND($D17&lt;&gt;"",O$2&lt;&gt;""),O$2&amp;"."&amp;$D17,"")</f>
        <v/>
      </c>
      <c r="P17" t="str">
        <f>IF(AND($D17&lt;&gt;"",P$2&lt;&gt;""),P$2&amp;"."&amp;$D17,"")</f>
        <v/>
      </c>
      <c r="Q17" t="str">
        <f>IF(AND($D17&lt;&gt;"",Q$2&lt;&gt;""),Q$2&amp;"."&amp;$D17,"")</f>
        <v/>
      </c>
      <c r="R17" t="str">
        <f>IF(AND($D17&lt;&gt;"",R$2&lt;&gt;""),R$2&amp;"."&amp;$D17,"")</f>
        <v/>
      </c>
      <c r="S17" t="str">
        <f>IF(AND($D17&lt;&gt;"",S$2&lt;&gt;""),S$2&amp;"."&amp;$D17,"")</f>
        <v/>
      </c>
      <c r="T17" t="str">
        <f>IF(AND($D17&lt;&gt;"",T$2&lt;&gt;""),T$2&amp;"."&amp;$D17,"")</f>
        <v/>
      </c>
      <c r="U17" t="str">
        <f t="shared" si="8"/>
        <v/>
      </c>
      <c r="V17" t="str">
        <f t="shared" si="8"/>
        <v/>
      </c>
      <c r="W17" t="str">
        <f t="shared" si="8"/>
        <v/>
      </c>
      <c r="X17" t="str">
        <f t="shared" si="8"/>
        <v/>
      </c>
      <c r="Y17" t="str">
        <f t="shared" si="8"/>
        <v/>
      </c>
      <c r="Z17" t="str">
        <f t="shared" si="8"/>
        <v/>
      </c>
      <c r="AA17" t="str">
        <f t="shared" si="8"/>
        <v/>
      </c>
      <c r="AB17" t="str">
        <f t="shared" si="8"/>
        <v/>
      </c>
      <c r="AC17" t="str">
        <f t="shared" si="8"/>
        <v/>
      </c>
      <c r="AD17" t="str">
        <f t="shared" si="8"/>
        <v/>
      </c>
      <c r="AE17" t="str">
        <f t="shared" si="8"/>
        <v/>
      </c>
      <c r="AF17" t="str">
        <f t="shared" si="8"/>
        <v/>
      </c>
      <c r="AG17" t="str">
        <f t="shared" si="8"/>
        <v/>
      </c>
      <c r="AH17" t="str">
        <f t="shared" si="8"/>
        <v/>
      </c>
      <c r="AI17" t="str">
        <f t="shared" si="8"/>
        <v/>
      </c>
      <c r="AJ17" t="str">
        <f t="shared" si="8"/>
        <v/>
      </c>
      <c r="AK17" t="str">
        <f t="shared" si="8"/>
        <v/>
      </c>
      <c r="AL17" t="str">
        <f t="shared" si="8"/>
        <v/>
      </c>
      <c r="AM17" t="str">
        <f t="shared" si="8"/>
        <v/>
      </c>
      <c r="AN17" t="str">
        <f t="shared" si="8"/>
        <v/>
      </c>
      <c r="AO17" t="str">
        <f t="shared" si="8"/>
        <v/>
      </c>
      <c r="AP17" t="str">
        <f t="shared" si="8"/>
        <v/>
      </c>
      <c r="AQ17" t="str">
        <f t="shared" si="8"/>
        <v/>
      </c>
      <c r="AR17" t="str">
        <f t="shared" si="8"/>
        <v/>
      </c>
      <c r="AS17" t="str">
        <f t="shared" si="8"/>
        <v/>
      </c>
      <c r="AT17" t="str">
        <f t="shared" si="8"/>
        <v/>
      </c>
      <c r="AU17" t="str">
        <f t="shared" si="8"/>
        <v/>
      </c>
      <c r="AV17" t="str">
        <f t="shared" si="8"/>
        <v/>
      </c>
      <c r="AW17" t="str">
        <f t="shared" si="8"/>
        <v/>
      </c>
      <c r="AX17" t="str">
        <f t="shared" si="8"/>
        <v/>
      </c>
      <c r="AY17" t="str">
        <f t="shared" si="8"/>
        <v/>
      </c>
      <c r="AZ17" t="str">
        <f t="shared" si="8"/>
        <v/>
      </c>
      <c r="BA17" t="str">
        <f t="shared" si="8"/>
        <v/>
      </c>
      <c r="BB17" s="10" t="str">
        <f t="shared" si="8"/>
        <v/>
      </c>
    </row>
    <row r="18" spans="1:54" x14ac:dyDescent="0.25">
      <c r="A18" s="16">
        <v>40</v>
      </c>
      <c r="B18" s="16" t="str">
        <f>IF(VLOOKUP($A18,'geocodes &amp; mnemonic list'!$A$5:$D$55,2,FALSE)&lt;&gt;"",VLOOKUP($A18,'geocodes &amp; mnemonic list'!$A$5:$D$55,2,FALSE),"")</f>
        <v/>
      </c>
      <c r="C18" s="16"/>
      <c r="D18" s="16" t="str">
        <f>IF(VLOOKUP($A18,'geocodes &amp; mnemonic list'!$A$5:$E$104,5,FALSE)=0,"",VLOOKUP($A18,'geocodes &amp; mnemonic list'!$A$5:$E$104,5,FALSE))</f>
        <v/>
      </c>
      <c r="E18" s="9" t="str">
        <f t="shared" si="3"/>
        <v/>
      </c>
      <c r="F18" t="str">
        <f>IF(AND($D18&lt;&gt;"",F$2&lt;&gt;""),F$2&amp;"."&amp;$D18,"")</f>
        <v/>
      </c>
      <c r="G18" t="str">
        <f>IF(AND($D18&lt;&gt;"",G$2&lt;&gt;""),G$2&amp;"."&amp;$D18,"")</f>
        <v/>
      </c>
      <c r="H18" t="str">
        <f>IF(AND($D18&lt;&gt;"",H$2&lt;&gt;""),H$2&amp;"."&amp;$D18,"")</f>
        <v/>
      </c>
      <c r="I18" t="str">
        <f>IF(AND($D18&lt;&gt;"",I$2&lt;&gt;""),I$2&amp;"."&amp;$D18,"")</f>
        <v/>
      </c>
      <c r="J18" t="str">
        <f>IF(AND($D18&lt;&gt;"",J$2&lt;&gt;""),J$2&amp;"."&amp;$D18,"")</f>
        <v/>
      </c>
      <c r="K18" t="str">
        <f>IF(AND($D18&lt;&gt;"",K$2&lt;&gt;""),K$2&amp;"."&amp;$D18,"")</f>
        <v/>
      </c>
      <c r="L18" t="str">
        <f>IF(AND($D18&lt;&gt;"",L$2&lt;&gt;""),L$2&amp;"."&amp;$D18,"")</f>
        <v/>
      </c>
      <c r="M18" t="str">
        <f>IF(AND($D18&lt;&gt;"",M$2&lt;&gt;""),M$2&amp;"."&amp;$D18,"")</f>
        <v/>
      </c>
      <c r="N18" t="str">
        <f>IF(AND($D18&lt;&gt;"",N$2&lt;&gt;""),N$2&amp;"."&amp;$D18,"")</f>
        <v/>
      </c>
      <c r="O18" t="str">
        <f>IF(AND($D18&lt;&gt;"",O$2&lt;&gt;""),O$2&amp;"."&amp;$D18,"")</f>
        <v/>
      </c>
      <c r="P18" t="str">
        <f>IF(AND($D18&lt;&gt;"",P$2&lt;&gt;""),P$2&amp;"."&amp;$D18,"")</f>
        <v/>
      </c>
      <c r="Q18" t="str">
        <f>IF(AND($D18&lt;&gt;"",Q$2&lt;&gt;""),Q$2&amp;"."&amp;$D18,"")</f>
        <v/>
      </c>
      <c r="R18" t="str">
        <f>IF(AND($D18&lt;&gt;"",R$2&lt;&gt;""),R$2&amp;"."&amp;$D18,"")</f>
        <v/>
      </c>
      <c r="S18" t="str">
        <f>IF(AND($D18&lt;&gt;"",S$2&lt;&gt;""),S$2&amp;"."&amp;$D18,"")</f>
        <v/>
      </c>
      <c r="T18" t="str">
        <f>IF(AND($D18&lt;&gt;"",T$2&lt;&gt;""),T$2&amp;"."&amp;$D18,"")</f>
        <v/>
      </c>
      <c r="U18" t="str">
        <f t="shared" si="8"/>
        <v/>
      </c>
      <c r="V18" t="str">
        <f t="shared" si="8"/>
        <v/>
      </c>
      <c r="W18" t="str">
        <f t="shared" si="8"/>
        <v/>
      </c>
      <c r="X18" t="str">
        <f t="shared" si="8"/>
        <v/>
      </c>
      <c r="Y18" t="str">
        <f t="shared" si="8"/>
        <v/>
      </c>
      <c r="Z18" t="str">
        <f t="shared" si="8"/>
        <v/>
      </c>
      <c r="AA18" t="str">
        <f t="shared" si="8"/>
        <v/>
      </c>
      <c r="AB18" t="str">
        <f t="shared" si="8"/>
        <v/>
      </c>
      <c r="AC18" t="str">
        <f t="shared" si="8"/>
        <v/>
      </c>
      <c r="AD18" t="str">
        <f t="shared" si="8"/>
        <v/>
      </c>
      <c r="AE18" t="str">
        <f t="shared" si="8"/>
        <v/>
      </c>
      <c r="AF18" t="str">
        <f t="shared" si="8"/>
        <v/>
      </c>
      <c r="AG18" t="str">
        <f t="shared" si="8"/>
        <v/>
      </c>
      <c r="AH18" t="str">
        <f t="shared" si="8"/>
        <v/>
      </c>
      <c r="AI18" t="str">
        <f t="shared" si="8"/>
        <v/>
      </c>
      <c r="AJ18" t="str">
        <f t="shared" si="8"/>
        <v/>
      </c>
      <c r="AK18" t="str">
        <f t="shared" si="8"/>
        <v/>
      </c>
      <c r="AL18" t="str">
        <f t="shared" si="8"/>
        <v/>
      </c>
      <c r="AM18" t="str">
        <f t="shared" si="8"/>
        <v/>
      </c>
      <c r="AN18" t="str">
        <f t="shared" si="8"/>
        <v/>
      </c>
      <c r="AO18" t="str">
        <f t="shared" si="8"/>
        <v/>
      </c>
      <c r="AP18" t="str">
        <f t="shared" si="8"/>
        <v/>
      </c>
      <c r="AQ18" t="str">
        <f t="shared" si="8"/>
        <v/>
      </c>
      <c r="AR18" t="str">
        <f t="shared" si="8"/>
        <v/>
      </c>
      <c r="AS18" t="str">
        <f t="shared" si="8"/>
        <v/>
      </c>
      <c r="AT18" t="str">
        <f t="shared" si="8"/>
        <v/>
      </c>
      <c r="AU18" t="str">
        <f t="shared" si="8"/>
        <v/>
      </c>
      <c r="AV18" t="str">
        <f t="shared" si="8"/>
        <v/>
      </c>
      <c r="AW18" t="str">
        <f t="shared" si="8"/>
        <v/>
      </c>
      <c r="AX18" t="str">
        <f t="shared" si="8"/>
        <v/>
      </c>
      <c r="AY18" t="str">
        <f t="shared" si="8"/>
        <v/>
      </c>
      <c r="AZ18" t="str">
        <f t="shared" si="8"/>
        <v/>
      </c>
      <c r="BA18" t="str">
        <f t="shared" si="8"/>
        <v/>
      </c>
      <c r="BB18" s="10" t="str">
        <f t="shared" si="8"/>
        <v/>
      </c>
    </row>
    <row r="19" spans="1:54" x14ac:dyDescent="0.25">
      <c r="A19" s="16">
        <v>41</v>
      </c>
      <c r="B19" s="16" t="str">
        <f>IF(VLOOKUP($A19,'geocodes &amp; mnemonic list'!$A$5:$D$55,2,FALSE)&lt;&gt;"",VLOOKUP($A19,'geocodes &amp; mnemonic list'!$A$5:$D$55,2,FALSE),"")</f>
        <v/>
      </c>
      <c r="C19" s="16"/>
      <c r="D19" s="16" t="str">
        <f>IF(VLOOKUP($A19,'geocodes &amp; mnemonic list'!$A$5:$E$104,5,FALSE)=0,"",VLOOKUP($A19,'geocodes &amp; mnemonic list'!$A$5:$E$104,5,FALSE))</f>
        <v/>
      </c>
      <c r="E19" s="9" t="str">
        <f t="shared" si="3"/>
        <v/>
      </c>
      <c r="F19" t="str">
        <f>IF(AND($D19&lt;&gt;"",F$2&lt;&gt;""),F$2&amp;"."&amp;$D19,"")</f>
        <v/>
      </c>
      <c r="G19" t="str">
        <f>IF(AND($D19&lt;&gt;"",G$2&lt;&gt;""),G$2&amp;"."&amp;$D19,"")</f>
        <v/>
      </c>
      <c r="H19" t="str">
        <f>IF(AND($D19&lt;&gt;"",H$2&lt;&gt;""),H$2&amp;"."&amp;$D19,"")</f>
        <v/>
      </c>
      <c r="I19" t="str">
        <f>IF(AND($D19&lt;&gt;"",I$2&lt;&gt;""),I$2&amp;"."&amp;$D19,"")</f>
        <v/>
      </c>
      <c r="J19" t="str">
        <f>IF(AND($D19&lt;&gt;"",J$2&lt;&gt;""),J$2&amp;"."&amp;$D19,"")</f>
        <v/>
      </c>
      <c r="K19" t="str">
        <f>IF(AND($D19&lt;&gt;"",K$2&lt;&gt;""),K$2&amp;"."&amp;$D19,"")</f>
        <v/>
      </c>
      <c r="L19" t="str">
        <f>IF(AND($D19&lt;&gt;"",L$2&lt;&gt;""),L$2&amp;"."&amp;$D19,"")</f>
        <v/>
      </c>
      <c r="M19" t="str">
        <f>IF(AND($D19&lt;&gt;"",M$2&lt;&gt;""),M$2&amp;"."&amp;$D19,"")</f>
        <v/>
      </c>
      <c r="N19" t="str">
        <f>IF(AND($D19&lt;&gt;"",N$2&lt;&gt;""),N$2&amp;"."&amp;$D19,"")</f>
        <v/>
      </c>
      <c r="O19" t="str">
        <f>IF(AND($D19&lt;&gt;"",O$2&lt;&gt;""),O$2&amp;"."&amp;$D19,"")</f>
        <v/>
      </c>
      <c r="P19" t="str">
        <f>IF(AND($D19&lt;&gt;"",P$2&lt;&gt;""),P$2&amp;"."&amp;$D19,"")</f>
        <v/>
      </c>
      <c r="Q19" t="str">
        <f>IF(AND($D19&lt;&gt;"",Q$2&lt;&gt;""),Q$2&amp;"."&amp;$D19,"")</f>
        <v/>
      </c>
      <c r="R19" t="str">
        <f>IF(AND($D19&lt;&gt;"",R$2&lt;&gt;""),R$2&amp;"."&amp;$D19,"")</f>
        <v/>
      </c>
      <c r="S19" t="str">
        <f>IF(AND($D19&lt;&gt;"",S$2&lt;&gt;""),S$2&amp;"."&amp;$D19,"")</f>
        <v/>
      </c>
      <c r="T19" t="str">
        <f>IF(AND($D19&lt;&gt;"",T$2&lt;&gt;""),T$2&amp;"."&amp;$D19,"")</f>
        <v/>
      </c>
      <c r="U19" t="str">
        <f t="shared" si="8"/>
        <v/>
      </c>
      <c r="V19" t="str">
        <f t="shared" si="8"/>
        <v/>
      </c>
      <c r="W19" t="str">
        <f t="shared" si="8"/>
        <v/>
      </c>
      <c r="X19" t="str">
        <f t="shared" si="8"/>
        <v/>
      </c>
      <c r="Y19" t="str">
        <f t="shared" si="8"/>
        <v/>
      </c>
      <c r="Z19" t="str">
        <f t="shared" si="8"/>
        <v/>
      </c>
      <c r="AA19" t="str">
        <f t="shared" si="8"/>
        <v/>
      </c>
      <c r="AB19" t="str">
        <f t="shared" si="8"/>
        <v/>
      </c>
      <c r="AC19" t="str">
        <f t="shared" si="8"/>
        <v/>
      </c>
      <c r="AD19" t="str">
        <f t="shared" si="8"/>
        <v/>
      </c>
      <c r="AE19" t="str">
        <f t="shared" si="8"/>
        <v/>
      </c>
      <c r="AF19" t="str">
        <f t="shared" si="8"/>
        <v/>
      </c>
      <c r="AG19" t="str">
        <f t="shared" si="8"/>
        <v/>
      </c>
      <c r="AH19" t="str">
        <f t="shared" si="8"/>
        <v/>
      </c>
      <c r="AI19" t="str">
        <f t="shared" si="8"/>
        <v/>
      </c>
      <c r="AJ19" t="str">
        <f t="shared" si="8"/>
        <v/>
      </c>
      <c r="AK19" t="str">
        <f t="shared" si="8"/>
        <v/>
      </c>
      <c r="AL19" t="str">
        <f t="shared" ref="AL19:BB19" si="9">IF(AND($D19&lt;&gt;"",AL$2&lt;&gt;""),AL$2&amp;"."&amp;$D19,"")</f>
        <v/>
      </c>
      <c r="AM19" t="str">
        <f t="shared" si="9"/>
        <v/>
      </c>
      <c r="AN19" t="str">
        <f t="shared" si="9"/>
        <v/>
      </c>
      <c r="AO19" t="str">
        <f t="shared" si="9"/>
        <v/>
      </c>
      <c r="AP19" t="str">
        <f t="shared" si="9"/>
        <v/>
      </c>
      <c r="AQ19" t="str">
        <f t="shared" si="9"/>
        <v/>
      </c>
      <c r="AR19" t="str">
        <f t="shared" si="9"/>
        <v/>
      </c>
      <c r="AS19" t="str">
        <f t="shared" si="9"/>
        <v/>
      </c>
      <c r="AT19" t="str">
        <f t="shared" si="9"/>
        <v/>
      </c>
      <c r="AU19" t="str">
        <f t="shared" si="9"/>
        <v/>
      </c>
      <c r="AV19" t="str">
        <f t="shared" si="9"/>
        <v/>
      </c>
      <c r="AW19" t="str">
        <f t="shared" si="9"/>
        <v/>
      </c>
      <c r="AX19" t="str">
        <f t="shared" si="9"/>
        <v/>
      </c>
      <c r="AY19" t="str">
        <f t="shared" si="9"/>
        <v/>
      </c>
      <c r="AZ19" t="str">
        <f t="shared" si="9"/>
        <v/>
      </c>
      <c r="BA19" t="str">
        <f t="shared" si="9"/>
        <v/>
      </c>
      <c r="BB19" s="10" t="str">
        <f t="shared" si="9"/>
        <v/>
      </c>
    </row>
    <row r="20" spans="1:54" x14ac:dyDescent="0.25">
      <c r="A20" s="16">
        <v>42</v>
      </c>
      <c r="B20" s="16" t="str">
        <f>IF(VLOOKUP($A20,'geocodes &amp; mnemonic list'!$A$5:$D$55,2,FALSE)&lt;&gt;"",VLOOKUP($A20,'geocodes &amp; mnemonic list'!$A$5:$D$55,2,FALSE),"")</f>
        <v/>
      </c>
      <c r="C20" s="16"/>
      <c r="D20" s="16" t="str">
        <f>IF(VLOOKUP($A20,'geocodes &amp; mnemonic list'!$A$5:$E$104,5,FALSE)=0,"",VLOOKUP($A20,'geocodes &amp; mnemonic list'!$A$5:$E$104,5,FALSE))</f>
        <v/>
      </c>
    </row>
    <row r="21" spans="1:54" x14ac:dyDescent="0.25">
      <c r="A21" s="16">
        <v>43</v>
      </c>
      <c r="B21" s="16" t="str">
        <f>IF(VLOOKUP($A21,'geocodes &amp; mnemonic list'!$A$5:$D$55,2,FALSE)&lt;&gt;"",VLOOKUP($A21,'geocodes &amp; mnemonic list'!$A$5:$D$55,2,FALSE),"")</f>
        <v/>
      </c>
      <c r="C21" s="16"/>
      <c r="D21" s="16" t="str">
        <f>IF(VLOOKUP($A21,'geocodes &amp; mnemonic list'!$A$5:$E$104,5,FALSE)=0,"",VLOOKUP($A21,'geocodes &amp; mnemonic list'!$A$5:$E$104,5,FALSE))</f>
        <v/>
      </c>
    </row>
    <row r="22" spans="1:54" x14ac:dyDescent="0.25">
      <c r="A22" s="16">
        <v>44</v>
      </c>
      <c r="B22" s="16" t="str">
        <f>IF(VLOOKUP($A22,'geocodes &amp; mnemonic list'!$A$5:$D$55,2,FALSE)&lt;&gt;"",VLOOKUP($A22,'geocodes &amp; mnemonic list'!$A$5:$D$55,2,FALSE),"")</f>
        <v/>
      </c>
      <c r="C22" s="16"/>
      <c r="D22" s="16" t="str">
        <f>IF(VLOOKUP($A22,'geocodes &amp; mnemonic list'!$A$5:$E$104,5,FALSE)=0,"",VLOOKUP($A22,'geocodes &amp; mnemonic list'!$A$5:$E$104,5,FALSE))</f>
        <v/>
      </c>
    </row>
    <row r="23" spans="1:54" x14ac:dyDescent="0.25">
      <c r="A23" s="16">
        <v>45</v>
      </c>
      <c r="B23" s="16" t="str">
        <f>IF(VLOOKUP($A23,'geocodes &amp; mnemonic list'!$A$5:$D$55,2,FALSE)&lt;&gt;"",VLOOKUP($A23,'geocodes &amp; mnemonic list'!$A$5:$D$55,2,FALSE),"")</f>
        <v/>
      </c>
      <c r="C23" s="16"/>
      <c r="D23" s="16" t="str">
        <f>IF(VLOOKUP($A23,'geocodes &amp; mnemonic list'!$A$5:$E$104,5,FALSE)=0,"",VLOOKUP($A23,'geocodes &amp; mnemonic list'!$A$5:$E$104,5,FALSE))</f>
        <v/>
      </c>
    </row>
    <row r="24" spans="1:54" x14ac:dyDescent="0.25">
      <c r="A24" s="16">
        <v>46</v>
      </c>
      <c r="B24" s="16" t="str">
        <f>IF(VLOOKUP($A24,'geocodes &amp; mnemonic list'!$A$5:$D$55,2,FALSE)&lt;&gt;"",VLOOKUP($A24,'geocodes &amp; mnemonic list'!$A$5:$D$55,2,FALSE),"")</f>
        <v/>
      </c>
      <c r="C24" s="16"/>
      <c r="D24" s="16" t="str">
        <f>IF(VLOOKUP($A24,'geocodes &amp; mnemonic list'!$A$5:$E$104,5,FALSE)=0,"",VLOOKUP($A24,'geocodes &amp; mnemonic list'!$A$5:$E$104,5,FALSE))</f>
        <v/>
      </c>
    </row>
    <row r="25" spans="1:54" x14ac:dyDescent="0.25">
      <c r="A25" s="16">
        <v>47</v>
      </c>
      <c r="B25" s="16" t="str">
        <f>IF(VLOOKUP($A25,'geocodes &amp; mnemonic list'!$A$5:$D$55,2,FALSE)&lt;&gt;"",VLOOKUP($A25,'geocodes &amp; mnemonic list'!$A$5:$D$55,2,FALSE),"")</f>
        <v/>
      </c>
      <c r="C25" s="16"/>
      <c r="D25" s="16" t="str">
        <f>IF(VLOOKUP($A25,'geocodes &amp; mnemonic list'!$A$5:$E$104,5,FALSE)=0,"",VLOOKUP($A25,'geocodes &amp; mnemonic list'!$A$5:$E$104,5,FALSE))</f>
        <v/>
      </c>
    </row>
    <row r="26" spans="1:54" x14ac:dyDescent="0.25">
      <c r="A26" s="16">
        <v>48</v>
      </c>
      <c r="B26" s="16" t="str">
        <f>IF(VLOOKUP($A26,'geocodes &amp; mnemonic list'!$A$5:$D$55,2,FALSE)&lt;&gt;"",VLOOKUP($A26,'geocodes &amp; mnemonic list'!$A$5:$D$55,2,FALSE),"")</f>
        <v/>
      </c>
      <c r="C26" s="16"/>
      <c r="D26" s="16" t="str">
        <f>IF(VLOOKUP($A26,'geocodes &amp; mnemonic list'!$A$5:$E$104,5,FALSE)=0,"",VLOOKUP($A26,'geocodes &amp; mnemonic list'!$A$5:$E$104,5,FALSE))</f>
        <v/>
      </c>
    </row>
    <row r="27" spans="1:54" x14ac:dyDescent="0.25">
      <c r="A27" s="16">
        <v>49</v>
      </c>
      <c r="B27" s="16" t="str">
        <f>IF(VLOOKUP($A27,'geocodes &amp; mnemonic list'!$A$5:$D$55,2,FALSE)&lt;&gt;"",VLOOKUP($A27,'geocodes &amp; mnemonic list'!$A$5:$D$55,2,FALSE),"")</f>
        <v/>
      </c>
      <c r="C27" s="16"/>
      <c r="D27" s="16" t="str">
        <f>IF(VLOOKUP($A27,'geocodes &amp; mnemonic list'!$A$5:$E$104,5,FALSE)=0,"",VLOOKUP($A27,'geocodes &amp; mnemonic list'!$A$5:$E$104,5,FALSE))</f>
        <v/>
      </c>
    </row>
    <row r="28" spans="1:54" x14ac:dyDescent="0.25">
      <c r="A28" s="16">
        <v>50</v>
      </c>
      <c r="B28" s="16" t="str">
        <f>IF(VLOOKUP($A28,'geocodes &amp; mnemonic list'!$A$5:$D$55,2,FALSE)&lt;&gt;"",VLOOKUP($A28,'geocodes &amp; mnemonic list'!$A$5:$D$55,2,FALSE),"")</f>
        <v/>
      </c>
      <c r="C28" s="16"/>
      <c r="D28" s="16" t="str">
        <f>IF(VLOOKUP($A28,'geocodes &amp; mnemonic list'!$A$5:$E$104,5,FALSE)=0,"",VLOOKUP($A28,'geocodes &amp; mnemonic list'!$A$5:$E$104,5,FALSE))</f>
        <v/>
      </c>
    </row>
    <row r="29" spans="1:54" x14ac:dyDescent="0.25">
      <c r="A29" s="16"/>
      <c r="B29" s="16"/>
      <c r="C29" s="16"/>
      <c r="D29" s="16"/>
    </row>
    <row r="30" spans="1:54" x14ac:dyDescent="0.25">
      <c r="A30" s="16"/>
      <c r="B30" s="16"/>
      <c r="C30" s="16"/>
      <c r="D30" s="16"/>
    </row>
    <row r="31" spans="1:54" x14ac:dyDescent="0.25">
      <c r="A31" s="16"/>
      <c r="B31" s="16"/>
      <c r="C31" s="16"/>
      <c r="D31" s="16"/>
    </row>
    <row r="32" spans="1:54" x14ac:dyDescent="0.25">
      <c r="A32" s="16"/>
      <c r="B32" s="16"/>
      <c r="C32" s="16"/>
      <c r="D32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EAAE-2A69-4306-B92A-895FAEC7DF30}">
  <dimension ref="C1:I53"/>
  <sheetViews>
    <sheetView workbookViewId="0">
      <selection activeCell="I11" sqref="I11"/>
    </sheetView>
  </sheetViews>
  <sheetFormatPr defaultRowHeight="15" x14ac:dyDescent="0.25"/>
  <cols>
    <col min="2" max="2" width="3" bestFit="1" customWidth="1"/>
    <col min="3" max="3" width="11.28515625" bestFit="1" customWidth="1"/>
    <col min="4" max="4" width="12.85546875" bestFit="1" customWidth="1"/>
    <col min="5" max="5" width="23.5703125" bestFit="1" customWidth="1"/>
    <col min="7" max="7" width="13.5703125" bestFit="1" customWidth="1"/>
    <col min="9" max="9" width="48.140625" bestFit="1" customWidth="1"/>
  </cols>
  <sheetData>
    <row r="1" spans="3:9" x14ac:dyDescent="0.25">
      <c r="D1" s="2" t="s">
        <v>166</v>
      </c>
      <c r="I1" t="s">
        <v>167</v>
      </c>
    </row>
    <row r="2" spans="3:9" x14ac:dyDescent="0.25">
      <c r="I2" s="14" t="s">
        <v>168</v>
      </c>
    </row>
    <row r="3" spans="3:9" x14ac:dyDescent="0.25">
      <c r="D3" s="2" t="s">
        <v>32</v>
      </c>
      <c r="E3" s="2" t="s">
        <v>129</v>
      </c>
      <c r="F3" s="2" t="s">
        <v>33</v>
      </c>
      <c r="G3" s="2" t="s">
        <v>34</v>
      </c>
    </row>
    <row r="4" spans="3:9" x14ac:dyDescent="0.25">
      <c r="C4" s="4">
        <v>1</v>
      </c>
      <c r="D4" s="16" t="s">
        <v>35</v>
      </c>
      <c r="E4" s="16" t="s">
        <v>0</v>
      </c>
      <c r="F4" s="16" t="s">
        <v>109</v>
      </c>
      <c r="G4" s="16" t="s">
        <v>38</v>
      </c>
      <c r="I4" t="str">
        <f>"'"&amp;D4&amp;"': "&amp;" ['"&amp;E4&amp;"', "&amp;" '"&amp;F4&amp;"', "&amp;" '"&amp;G4&amp;"'],"</f>
        <v>'Denver':  ['DEN',  'DE',  'IUSA_MDEN'],</v>
      </c>
    </row>
    <row r="5" spans="3:9" x14ac:dyDescent="0.25">
      <c r="C5" s="4">
        <v>2</v>
      </c>
      <c r="D5" s="16" t="s">
        <v>36</v>
      </c>
      <c r="E5" s="16" t="s">
        <v>1</v>
      </c>
      <c r="F5" s="16" t="s">
        <v>1</v>
      </c>
      <c r="G5" s="16" t="s">
        <v>39</v>
      </c>
      <c r="I5" t="str">
        <f t="shared" ref="I5:I36" si="0">"'"&amp;D5&amp;"': "&amp;" ['"&amp;E5&amp;"', "&amp;" '"&amp;F5&amp;"', "&amp;" '"&amp;G5&amp;"'],"</f>
        <v>'Los Angeles':  ['LA',  'LA',  'IUSA_DMLOS'],</v>
      </c>
    </row>
    <row r="6" spans="3:9" x14ac:dyDescent="0.25">
      <c r="C6" s="4">
        <v>3</v>
      </c>
      <c r="D6" s="16" t="s">
        <v>37</v>
      </c>
      <c r="E6" s="16" t="s">
        <v>2</v>
      </c>
      <c r="F6" s="16" t="s">
        <v>110</v>
      </c>
      <c r="G6" s="16" t="s">
        <v>40</v>
      </c>
      <c r="I6" t="str">
        <f t="shared" si="0"/>
        <v>'Oakland-East Bay':  ['OAK',  'OA',  'IUSA_DMOAK'],</v>
      </c>
    </row>
    <row r="7" spans="3:9" x14ac:dyDescent="0.25">
      <c r="C7" s="4">
        <v>4</v>
      </c>
      <c r="D7" s="16" t="s">
        <v>71</v>
      </c>
      <c r="E7" s="16" t="s">
        <v>3</v>
      </c>
      <c r="F7" s="16" t="s">
        <v>3</v>
      </c>
      <c r="G7" s="16" t="s">
        <v>41</v>
      </c>
      <c r="I7" t="str">
        <f t="shared" si="0"/>
        <v>'Orange County':  ['OC',  'OC',  'IUSA_DMANA'],</v>
      </c>
    </row>
    <row r="8" spans="3:9" x14ac:dyDescent="0.25">
      <c r="C8" s="4">
        <v>5</v>
      </c>
      <c r="D8" s="16" t="s">
        <v>72</v>
      </c>
      <c r="E8" s="16" t="s">
        <v>4</v>
      </c>
      <c r="F8" s="16" t="s">
        <v>111</v>
      </c>
      <c r="G8" s="16" t="s">
        <v>42</v>
      </c>
      <c r="I8" t="str">
        <f t="shared" si="0"/>
        <v>'Portland':  ['POR',  'PO',  'IUSA_MPOT'],</v>
      </c>
    </row>
    <row r="9" spans="3:9" x14ac:dyDescent="0.25">
      <c r="C9" s="4">
        <v>6</v>
      </c>
      <c r="D9" s="16" t="s">
        <v>73</v>
      </c>
      <c r="E9" s="16" t="s">
        <v>5</v>
      </c>
      <c r="F9" s="16" t="s">
        <v>5</v>
      </c>
      <c r="G9" s="16" t="s">
        <v>43</v>
      </c>
      <c r="I9" t="str">
        <f t="shared" si="0"/>
        <v>'San Jose':  ['SJ',  'SJ',  'IUSA_MSAJ'],</v>
      </c>
    </row>
    <row r="10" spans="3:9" x14ac:dyDescent="0.25">
      <c r="C10" s="4">
        <v>7</v>
      </c>
      <c r="D10" s="16" t="s">
        <v>74</v>
      </c>
      <c r="E10" s="16" t="s">
        <v>6</v>
      </c>
      <c r="F10" s="16" t="s">
        <v>6</v>
      </c>
      <c r="G10" s="16" t="s">
        <v>44</v>
      </c>
      <c r="I10" t="str">
        <f t="shared" si="0"/>
        <v>'San Diego':  ['SD',  'SD',  'IUSA_MSAN'],</v>
      </c>
    </row>
    <row r="11" spans="3:9" x14ac:dyDescent="0.25">
      <c r="C11" s="4">
        <v>8</v>
      </c>
      <c r="D11" s="16" t="s">
        <v>75</v>
      </c>
      <c r="E11" s="16" t="s">
        <v>10</v>
      </c>
      <c r="F11" s="16" t="s">
        <v>113</v>
      </c>
      <c r="G11" s="16" t="s">
        <v>48</v>
      </c>
      <c r="I11" t="str">
        <f t="shared" si="0"/>
        <v>'Ventura County':  ['VC',  'VN',  'IUSA_MOXN'],</v>
      </c>
    </row>
    <row r="12" spans="3:9" x14ac:dyDescent="0.25">
      <c r="C12" s="4">
        <v>9</v>
      </c>
      <c r="D12" s="16" t="s">
        <v>76</v>
      </c>
      <c r="E12" s="16" t="s">
        <v>11</v>
      </c>
      <c r="F12" s="16" t="s">
        <v>11</v>
      </c>
      <c r="G12" s="16" t="s">
        <v>49</v>
      </c>
      <c r="I12" t="str">
        <f t="shared" si="0"/>
        <v>'Fairfield County':  ['FC',  'FC',  'IUSA_MBSD'],</v>
      </c>
    </row>
    <row r="13" spans="3:9" x14ac:dyDescent="0.25">
      <c r="C13" s="4">
        <v>10</v>
      </c>
      <c r="D13" s="16" t="s">
        <v>77</v>
      </c>
      <c r="E13" s="16" t="s">
        <v>12</v>
      </c>
      <c r="F13" s="16" t="s">
        <v>114</v>
      </c>
      <c r="G13" s="16" t="s">
        <v>50</v>
      </c>
      <c r="I13" t="str">
        <f t="shared" si="0"/>
        <v>'Boston':  ['BOS',  'BO',  'IUSA_MBOS'],</v>
      </c>
    </row>
    <row r="14" spans="3:9" x14ac:dyDescent="0.25">
      <c r="C14" s="4">
        <v>11</v>
      </c>
      <c r="D14" s="16" t="s">
        <v>78</v>
      </c>
      <c r="E14" s="16" t="s">
        <v>13</v>
      </c>
      <c r="F14" s="16" t="s">
        <v>115</v>
      </c>
      <c r="G14" s="16" t="s">
        <v>51</v>
      </c>
      <c r="I14" t="str">
        <f t="shared" si="0"/>
        <v>'New York Metro':  ['NYM',  'NY',  'IUSA_DMNWY'],</v>
      </c>
    </row>
    <row r="15" spans="3:9" x14ac:dyDescent="0.25">
      <c r="C15" s="4">
        <v>12</v>
      </c>
      <c r="D15" s="16" t="s">
        <v>79</v>
      </c>
      <c r="E15" s="16" t="s">
        <v>14</v>
      </c>
      <c r="F15" s="16" t="s">
        <v>116</v>
      </c>
      <c r="G15" s="16" t="s">
        <v>52</v>
      </c>
      <c r="I15" t="str">
        <f t="shared" si="0"/>
        <v>'Northern New Jersey':  ['NNJ',  'NJ',  'IUSA_DMNEK'],</v>
      </c>
    </row>
    <row r="16" spans="3:9" x14ac:dyDescent="0.25">
      <c r="C16" s="4">
        <v>13</v>
      </c>
      <c r="D16" s="16" t="s">
        <v>80</v>
      </c>
      <c r="E16" s="16" t="s">
        <v>15</v>
      </c>
      <c r="F16" s="16" t="s">
        <v>15</v>
      </c>
      <c r="G16" s="16" t="s">
        <v>53</v>
      </c>
      <c r="I16" t="str">
        <f t="shared" si="0"/>
        <v>'Long Island':  ['LI',  'LI',  'IUSA_DMNAS'],</v>
      </c>
    </row>
    <row r="17" spans="3:9" x14ac:dyDescent="0.25">
      <c r="C17" s="4">
        <v>14</v>
      </c>
      <c r="D17" s="16" t="s">
        <v>81</v>
      </c>
      <c r="E17" s="16" t="s">
        <v>16</v>
      </c>
      <c r="F17" s="16" t="s">
        <v>16</v>
      </c>
      <c r="G17" s="16" t="s">
        <v>54</v>
      </c>
      <c r="I17" t="str">
        <f t="shared" si="0"/>
        <v>'District of Columbia':  ['DC',  'DC',  'IUSA_MWAA'],</v>
      </c>
    </row>
    <row r="18" spans="3:9" x14ac:dyDescent="0.25">
      <c r="C18" s="4">
        <v>15</v>
      </c>
      <c r="D18" s="16" t="s">
        <v>82</v>
      </c>
      <c r="E18" s="16" t="s">
        <v>17</v>
      </c>
      <c r="F18" s="16" t="s">
        <v>117</v>
      </c>
      <c r="G18" s="16" t="s">
        <v>55</v>
      </c>
      <c r="I18" t="str">
        <f t="shared" si="0"/>
        <v>'Atlanta':  ['ATL',  'AT',  'IUSA_MATS'],</v>
      </c>
    </row>
    <row r="19" spans="3:9" x14ac:dyDescent="0.25">
      <c r="C19" s="4">
        <v>16</v>
      </c>
      <c r="D19" s="16" t="s">
        <v>83</v>
      </c>
      <c r="E19" s="16" t="s">
        <v>18</v>
      </c>
      <c r="F19" s="16" t="s">
        <v>118</v>
      </c>
      <c r="G19" s="16" t="s">
        <v>56</v>
      </c>
      <c r="I19" t="str">
        <f t="shared" si="0"/>
        <v>'Austin':  ['AUS',  'AU',  'IUSA_MAUS'],</v>
      </c>
    </row>
    <row r="20" spans="3:9" x14ac:dyDescent="0.25">
      <c r="C20" s="4">
        <v>17</v>
      </c>
      <c r="D20" s="16" t="s">
        <v>84</v>
      </c>
      <c r="E20" s="16" t="s">
        <v>19</v>
      </c>
      <c r="F20" s="16" t="s">
        <v>119</v>
      </c>
      <c r="G20" s="16" t="s">
        <v>57</v>
      </c>
      <c r="I20" t="str">
        <f t="shared" si="0"/>
        <v>'Central New Jersey':  ['CNJ',  'CJ',  'IUSA_DMLNB'],</v>
      </c>
    </row>
    <row r="21" spans="3:9" x14ac:dyDescent="0.25">
      <c r="C21" s="4">
        <v>18</v>
      </c>
      <c r="D21" s="16" t="s">
        <v>85</v>
      </c>
      <c r="E21" s="16" t="s">
        <v>20</v>
      </c>
      <c r="F21" s="16" t="s">
        <v>120</v>
      </c>
      <c r="G21" s="16" t="s">
        <v>58</v>
      </c>
      <c r="I21" t="str">
        <f t="shared" si="0"/>
        <v>'Charleston':  ['CHS',  'CN',  'IUSA_MCHS'],</v>
      </c>
    </row>
    <row r="22" spans="3:9" x14ac:dyDescent="0.25">
      <c r="C22" s="4">
        <v>19</v>
      </c>
      <c r="D22" s="16" t="s">
        <v>86</v>
      </c>
      <c r="E22" s="16" t="s">
        <v>21</v>
      </c>
      <c r="F22" s="16" t="s">
        <v>121</v>
      </c>
      <c r="G22" s="16" t="s">
        <v>59</v>
      </c>
      <c r="I22" t="str">
        <f t="shared" si="0"/>
        <v>'Charlotte':  ['CHR',  'CR',  'IUSA_MCLT'],</v>
      </c>
    </row>
    <row r="23" spans="3:9" x14ac:dyDescent="0.25">
      <c r="C23" s="4">
        <v>20</v>
      </c>
      <c r="D23" s="16" t="s">
        <v>87</v>
      </c>
      <c r="E23" s="16" t="s">
        <v>22</v>
      </c>
      <c r="F23" s="16" t="s">
        <v>122</v>
      </c>
      <c r="G23" s="16" t="s">
        <v>60</v>
      </c>
      <c r="I23" t="str">
        <f t="shared" si="0"/>
        <v>'Dallas':  ['DAL',  'DA',  'IUSA_DMDAL'],</v>
      </c>
    </row>
    <row r="24" spans="3:9" x14ac:dyDescent="0.25">
      <c r="C24" s="4">
        <v>21</v>
      </c>
      <c r="D24" s="16" t="s">
        <v>88</v>
      </c>
      <c r="E24" s="16" t="s">
        <v>23</v>
      </c>
      <c r="F24" s="16" t="s">
        <v>23</v>
      </c>
      <c r="G24" s="16" t="s">
        <v>61</v>
      </c>
      <c r="I24" t="str">
        <f t="shared" si="0"/>
        <v>'Fort Lauderdale':  ['FL',  'FL',  'IUSA_DMFOT'],</v>
      </c>
    </row>
    <row r="25" spans="3:9" x14ac:dyDescent="0.25">
      <c r="C25" s="4">
        <v>22</v>
      </c>
      <c r="D25" s="16" t="s">
        <v>89</v>
      </c>
      <c r="E25" s="16" t="s">
        <v>24</v>
      </c>
      <c r="F25" s="16" t="s">
        <v>24</v>
      </c>
      <c r="G25" s="16" t="s">
        <v>62</v>
      </c>
      <c r="I25" t="str">
        <f t="shared" si="0"/>
        <v>'Fort Worth':  ['FW',  'FW',  'IUSA_DMDLL'],</v>
      </c>
    </row>
    <row r="26" spans="3:9" x14ac:dyDescent="0.25">
      <c r="C26" s="4">
        <v>23</v>
      </c>
      <c r="D26" s="16" t="s">
        <v>90</v>
      </c>
      <c r="E26" s="16" t="s">
        <v>25</v>
      </c>
      <c r="F26" s="16" t="s">
        <v>123</v>
      </c>
      <c r="G26" s="16" t="s">
        <v>63</v>
      </c>
      <c r="I26" t="str">
        <f t="shared" si="0"/>
        <v>'Miami':  ['MIA',  'MI',  'IUSA_DMMIA'],</v>
      </c>
    </row>
    <row r="27" spans="3:9" x14ac:dyDescent="0.25">
      <c r="C27" s="4">
        <v>24</v>
      </c>
      <c r="D27" s="16" t="s">
        <v>91</v>
      </c>
      <c r="E27" s="16" t="s">
        <v>26</v>
      </c>
      <c r="F27" s="16" t="s">
        <v>124</v>
      </c>
      <c r="G27" s="16" t="s">
        <v>64</v>
      </c>
      <c r="I27" t="str">
        <f t="shared" si="0"/>
        <v>'Orlando':  ['ORL',  'OR',  'IUSA_MORL'],</v>
      </c>
    </row>
    <row r="28" spans="3:9" x14ac:dyDescent="0.25">
      <c r="C28" s="4">
        <v>25</v>
      </c>
      <c r="D28" s="16" t="s">
        <v>127</v>
      </c>
      <c r="E28" s="16" t="s">
        <v>29</v>
      </c>
      <c r="F28" s="16" t="s">
        <v>29</v>
      </c>
      <c r="G28" s="16" t="s">
        <v>67</v>
      </c>
      <c r="I28" t="str">
        <f t="shared" si="0"/>
        <v>'San Bernardino/Riverside':  ['SB',  'SB',  'IUSA_MRIV'],</v>
      </c>
    </row>
    <row r="29" spans="3:9" x14ac:dyDescent="0.25">
      <c r="C29" s="4">
        <v>26</v>
      </c>
      <c r="D29" s="16" t="s">
        <v>92</v>
      </c>
      <c r="E29" s="16" t="s">
        <v>30</v>
      </c>
      <c r="F29" s="16" t="s">
        <v>126</v>
      </c>
      <c r="G29" s="16" t="s">
        <v>68</v>
      </c>
      <c r="I29" t="str">
        <f t="shared" si="0"/>
        <v>'Tampa-St. Petersburg':  ['TAM',  'TA',  'IUSA_MTAM'],</v>
      </c>
    </row>
    <row r="30" spans="3:9" x14ac:dyDescent="0.25">
      <c r="C30" s="4">
        <v>27</v>
      </c>
      <c r="D30" s="16" t="s">
        <v>128</v>
      </c>
      <c r="E30" s="16" t="s">
        <v>31</v>
      </c>
      <c r="F30" s="16" t="s">
        <v>31</v>
      </c>
      <c r="G30" s="16" t="s">
        <v>69</v>
      </c>
      <c r="I30" t="str">
        <f t="shared" si="0"/>
        <v>'US Metro Total':  ['US',  'US',  'IUSA'],</v>
      </c>
    </row>
    <row r="31" spans="3:9" x14ac:dyDescent="0.25">
      <c r="C31" s="4">
        <v>28</v>
      </c>
      <c r="D31" s="16" t="s">
        <v>153</v>
      </c>
      <c r="E31" s="16" t="s">
        <v>7</v>
      </c>
      <c r="F31" s="16" t="s">
        <v>112</v>
      </c>
      <c r="G31" s="16" t="s">
        <v>70</v>
      </c>
      <c r="I31" t="str">
        <f t="shared" si="0"/>
        <v>'Seattle 1':  ['SEA',  'SE',  'IUSA_DMEVE'],</v>
      </c>
    </row>
    <row r="32" spans="3:9" x14ac:dyDescent="0.25">
      <c r="C32" s="4">
        <v>29</v>
      </c>
      <c r="D32" s="16" t="s">
        <v>154</v>
      </c>
      <c r="E32" s="16" t="s">
        <v>152</v>
      </c>
      <c r="F32" s="16" t="s">
        <v>112</v>
      </c>
      <c r="G32" s="16" t="s">
        <v>45</v>
      </c>
      <c r="I32" t="str">
        <f t="shared" si="0"/>
        <v>'Seattle 2':  ['EVE',  'SE',  'IUSA_DMSEB'],</v>
      </c>
    </row>
    <row r="33" spans="3:9" x14ac:dyDescent="0.25">
      <c r="C33" s="4">
        <v>30</v>
      </c>
      <c r="D33" s="16" t="s">
        <v>155</v>
      </c>
      <c r="E33" s="16" t="s">
        <v>8</v>
      </c>
      <c r="F33" s="16" t="s">
        <v>8</v>
      </c>
      <c r="G33" s="16" t="s">
        <v>46</v>
      </c>
      <c r="I33" t="str">
        <f t="shared" si="0"/>
        <v>'San Francisco 1':  ['SF',  'SF',  'IUSA_DMSAF'],</v>
      </c>
    </row>
    <row r="34" spans="3:9" x14ac:dyDescent="0.25">
      <c r="C34" s="4">
        <v>31</v>
      </c>
      <c r="D34" s="16" t="s">
        <v>156</v>
      </c>
      <c r="E34" s="16" t="s">
        <v>9</v>
      </c>
      <c r="F34" s="16" t="s">
        <v>8</v>
      </c>
      <c r="G34" s="16" t="s">
        <v>47</v>
      </c>
      <c r="I34" t="str">
        <f t="shared" si="0"/>
        <v>'San Francisco 2':  ['SR',  'SF',  'IUSA_DMSRF'],</v>
      </c>
    </row>
    <row r="35" spans="3:9" x14ac:dyDescent="0.25">
      <c r="C35" s="4">
        <v>32</v>
      </c>
      <c r="D35" s="16" t="s">
        <v>157</v>
      </c>
      <c r="E35" s="16" t="s">
        <v>27</v>
      </c>
      <c r="F35" s="16" t="s">
        <v>125</v>
      </c>
      <c r="G35" s="16" t="s">
        <v>65</v>
      </c>
      <c r="I35" t="str">
        <f t="shared" si="0"/>
        <v>'Raleigh-Durham 1':  ['RAL',  'RD',  'IUSA_MRAL'],</v>
      </c>
    </row>
    <row r="36" spans="3:9" x14ac:dyDescent="0.25">
      <c r="C36" s="4">
        <v>33</v>
      </c>
      <c r="D36" s="16" t="s">
        <v>158</v>
      </c>
      <c r="E36" s="16" t="s">
        <v>28</v>
      </c>
      <c r="F36" s="16" t="s">
        <v>125</v>
      </c>
      <c r="G36" s="16" t="s">
        <v>66</v>
      </c>
      <c r="I36" t="str">
        <f t="shared" si="0"/>
        <v>'Raleigh-Durham 2':  ['DUR',  'RD',  'IUSA_MDUR'],</v>
      </c>
    </row>
    <row r="37" spans="3:9" x14ac:dyDescent="0.25">
      <c r="C37" s="4">
        <v>34</v>
      </c>
      <c r="D37" s="16"/>
      <c r="E37" s="16"/>
      <c r="F37" s="16"/>
      <c r="G37" s="16"/>
    </row>
    <row r="38" spans="3:9" x14ac:dyDescent="0.25">
      <c r="C38" s="4">
        <v>35</v>
      </c>
      <c r="D38" s="16"/>
      <c r="E38" s="16"/>
      <c r="F38" s="16"/>
      <c r="G38" s="16"/>
    </row>
    <row r="39" spans="3:9" x14ac:dyDescent="0.25">
      <c r="C39" s="4">
        <v>36</v>
      </c>
      <c r="D39" s="16"/>
      <c r="E39" s="16"/>
      <c r="F39" s="16"/>
      <c r="G39" s="16"/>
    </row>
    <row r="40" spans="3:9" x14ac:dyDescent="0.25">
      <c r="C40" s="4">
        <v>37</v>
      </c>
      <c r="D40" s="16"/>
      <c r="E40" s="16"/>
      <c r="F40" s="16"/>
      <c r="G40" s="16"/>
    </row>
    <row r="41" spans="3:9" x14ac:dyDescent="0.25">
      <c r="C41" s="4">
        <v>38</v>
      </c>
      <c r="D41" s="16"/>
      <c r="E41" s="16"/>
      <c r="F41" s="16"/>
      <c r="G41" s="16"/>
    </row>
    <row r="42" spans="3:9" x14ac:dyDescent="0.25">
      <c r="C42" s="4">
        <v>39</v>
      </c>
      <c r="D42" s="16"/>
      <c r="E42" s="16"/>
      <c r="F42" s="16"/>
      <c r="G42" s="16"/>
    </row>
    <row r="43" spans="3:9" x14ac:dyDescent="0.25">
      <c r="C43" s="4">
        <v>40</v>
      </c>
      <c r="D43" s="16"/>
      <c r="E43" s="16"/>
      <c r="F43" s="16"/>
      <c r="G43" s="16"/>
    </row>
    <row r="44" spans="3:9" x14ac:dyDescent="0.25">
      <c r="C44" s="4">
        <v>41</v>
      </c>
      <c r="D44" s="16"/>
      <c r="E44" s="16"/>
      <c r="F44" s="16"/>
      <c r="G44" s="16"/>
    </row>
    <row r="45" spans="3:9" x14ac:dyDescent="0.25">
      <c r="C45" s="4">
        <v>42</v>
      </c>
      <c r="D45" s="16"/>
      <c r="E45" s="16"/>
      <c r="F45" s="16"/>
      <c r="G45" s="16"/>
    </row>
    <row r="46" spans="3:9" x14ac:dyDescent="0.25">
      <c r="C46" s="4">
        <v>43</v>
      </c>
      <c r="D46" s="16"/>
      <c r="E46" s="16"/>
      <c r="F46" s="16"/>
      <c r="G46" s="16"/>
    </row>
    <row r="47" spans="3:9" x14ac:dyDescent="0.25">
      <c r="C47" s="4">
        <v>44</v>
      </c>
      <c r="D47" s="16"/>
      <c r="E47" s="16"/>
      <c r="F47" s="16"/>
      <c r="G47" s="16"/>
    </row>
    <row r="48" spans="3:9" x14ac:dyDescent="0.25">
      <c r="C48" s="4">
        <v>45</v>
      </c>
      <c r="D48" s="16"/>
      <c r="E48" s="16"/>
      <c r="F48" s="16"/>
      <c r="G48" s="16"/>
    </row>
    <row r="49" spans="3:7" x14ac:dyDescent="0.25">
      <c r="C49" s="4">
        <v>46</v>
      </c>
      <c r="D49" s="16"/>
      <c r="E49" s="16"/>
      <c r="F49" s="16"/>
      <c r="G49" s="16"/>
    </row>
    <row r="50" spans="3:7" x14ac:dyDescent="0.25">
      <c r="C50" s="4">
        <v>47</v>
      </c>
      <c r="D50" s="16"/>
      <c r="E50" s="16"/>
      <c r="F50" s="16"/>
      <c r="G50" s="16"/>
    </row>
    <row r="51" spans="3:7" x14ac:dyDescent="0.25">
      <c r="C51" s="4">
        <v>48</v>
      </c>
    </row>
    <row r="52" spans="3:7" x14ac:dyDescent="0.25">
      <c r="C52" s="4">
        <v>49</v>
      </c>
    </row>
    <row r="53" spans="3:7" x14ac:dyDescent="0.25">
      <c r="C53" s="4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 basket</vt:lpstr>
      <vt:lpstr>geocodes &amp; mnemonic list</vt:lpstr>
      <vt:lpstr>Single Geocode compiler</vt:lpstr>
      <vt:lpstr>Double Geocode Compiler</vt:lpstr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Alan</dc:creator>
  <cp:lastModifiedBy>Li, Alan</cp:lastModifiedBy>
  <dcterms:created xsi:type="dcterms:W3CDTF">2015-06-05T18:17:20Z</dcterms:created>
  <dcterms:modified xsi:type="dcterms:W3CDTF">2026-01-07T23:35:42Z</dcterms:modified>
</cp:coreProperties>
</file>